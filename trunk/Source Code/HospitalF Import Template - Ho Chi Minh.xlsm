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<sst xmlns="http://schemas.openxmlformats.org/spreadsheetml/2006/main" count="2054" uniqueCount="1161">
  <si>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</si>
  <si>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</si>
  <si>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</si>
  <si>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</si>
  <si>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</si>
  <si>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</si>
  <si>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</si>
  <si>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</si>
  <si>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</si>
  <si>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</si>
  <si>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</si>
  <si>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</si>
  <si>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</si>
  <si>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</si>
  <si>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</si>
  <si>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</si>
  <si>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</si>
  <si>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</si>
  <si>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</si>
  <si>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</si>
  <si>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</si>
  <si>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</si>
  <si>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</si>
  <si>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</si>
  <si>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</si>
  <si>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</si>
  <si>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</si>
  <si>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</si>
  <si>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</si>
  <si>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</si>
  <si>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</si>
  <si>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</si>
  <si>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</si>
  <si>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</si>
  <si>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</si>
  <si>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</si>
  <si>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</si>
  <si>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</si>
  <si>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</si>
  <si>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</si>
  <si>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</si>
  <si>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</si>
  <si>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</si>
  <si>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</si>
  <si>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</si>
  <si>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</si>
  <si>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</si>
  <si>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</si>
  <si>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</si>
  <si>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</si>
  <si>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</si>
  <si>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</si>
  <si>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</si>
  <si>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</si>
  <si>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</si>
  <si>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</si>
  <si>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</si>
  <si>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</si>
  <si>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</si>
  <si>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</si>
  <si>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</si>
  <si>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</si>
  <si>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</si>
  <si>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</si>
  <si>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</si>
  <si>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</si>
  <si>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</si>
  <si>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</si>
  <si>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</si>
  <si>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</si>
  <si>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</si>
  <si>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</si>
  <si>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</si>
  <si>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</si>
  <si>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</si>
  <si>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</si>
  <si>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</si>
  <si>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</si>
  <si>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</si>
  <si>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</si>
  <si>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</si>
  <si>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</si>
  <si>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</si>
  <si>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</si>
  <si>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</si>
  <si>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</si>
  <si>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</si>
  <si>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</si>
  <si>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</si>
  <si>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</si>
  <si>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</si>
  <si>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</si>
  <si>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</si>
  <si>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</si>
  <si>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</si>
  <si>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</si>
  <si>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</si>
  <si>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</si>
  <si>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</si>
  <si>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</si>
  <si>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</si>
  <si>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</si>
  <si>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</si>
  <si>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</si>
  <si>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</si>
  <si>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</si>
  <si>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</si>
  <si>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</si>
  <si>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</si>
  <si>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</si>
  <si>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</si>
  <si>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</si>
  <si>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</si>
  <si>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</si>
  <si>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</si>
  <si>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</si>
  <si>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</si>
  <si>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</si>
  <si>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</si>
  <si>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</si>
  <si>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</si>
  <si>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</si>
  <si>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</si>
  <si>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</si>
  <si>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</si>
  <si>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</si>
  <si>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</si>
  <si>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</si>
  <si>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</si>
  <si>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</si>
  <si>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</si>
  <si>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</si>
  <si>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</si>
  <si>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</si>
  <si>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</si>
  <si>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</si>
  <si>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</si>
  <si>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</si>
  <si>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</si>
  <si>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</si>
  <si>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</si>
  <si>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</si>
  <si>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</si>
  <si>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</si>
  <si>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</si>
  <si>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</si>
  <si>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</si>
  <si>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</si>
  <si>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</si>
  <si>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</si>
  <si>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</si>
  <si>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</si>
  <si>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</si>
  <si>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</si>
  <si>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</si>
  <si>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</si>
  <si>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</si>
  <si>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</si>
  <si>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</si>
  <si>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</si>
  <si>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</si>
  <si>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</si>
  <si>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</si>
  <si>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</si>
  <si>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</si>
  <si>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</si>
  <si>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</si>
  <si>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</si>
  <si>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</si>
  <si>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</si>
  <si>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</si>
  <si>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</si>
  <si>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</si>
  <si>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</si>
  <si>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</si>
  <si>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</si>
  <si>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</si>
  <si>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</si>
  <si>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</si>
  <si>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</si>
  <si>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</si>
  <si>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</si>
  <si>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</si>
  <si>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</si>
  <si>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</si>
  <si>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</si>
  <si>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</si>
  <si>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</si>
  <si>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</si>
  <si>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</si>
  <si>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</si>
  <si>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</si>
  <si>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</si>
  <si>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</si>
  <si>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</si>
  <si>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</si>
  <si>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</si>
  <si>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</si>
  <si>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</si>
  <si>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</si>
  <si>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</si>
  <si>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</si>
  <si>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</si>
  <si>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</si>
  <si>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</si>
  <si>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</si>
  <si>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</si>
  <si>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</si>
  <si>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</si>
  <si>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</si>
  <si>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</si>
  <si>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</si>
  <si>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</si>
  <si>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</si>
  <si>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</si>
  <si>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</si>
  <si>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</si>
  <si>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</si>
  <si>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</si>
  <si>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</si>
  <si>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</si>
  <si>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</si>
  <si>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</si>
  <si>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</si>
  <si>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</si>
  <si>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</si>
  <si>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</si>
  <si>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</si>
  <si>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</si>
  <si>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</si>
  <si>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</si>
  <si>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</si>
  <si>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</si>
  <si>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</si>
  <si>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</si>
  <si>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</si>
  <si>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</si>
  <si>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</si>
  <si>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</si>
  <si>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</si>
  <si>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</si>
  <si>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</si>
  <si>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</si>
  <si>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</si>
  <si>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</si>
  <si>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</si>
  <si>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</si>
  <si>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</si>
  <si>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</si>
  <si>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</si>
  <si>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</si>
  <si>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</si>
  <si>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</si>
  <si>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</si>
  <si>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</si>
  <si>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</si>
  <si>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</si>
  <si>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</si>
  <si>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</si>
  <si>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</si>
  <si>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</si>
  <si>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</si>
  <si>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</si>
  <si>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</si>
  <si>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</si>
  <si>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</si>
  <si>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</si>
  <si>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</si>
  <si>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</si>
  <si>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</si>
  <si>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</si>
  <si>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</si>
  <si>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</si>
  <si>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</si>
  <si>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</si>
  <si>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</si>
  <si>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</si>
  <si>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</si>
  <si>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</si>
  <si>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</si>
  <si>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</si>
  <si>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</si>
  <si>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</si>
  <si>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</si>
  <si>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</si>
  <si>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</si>
  <si>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</si>
  <si>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</si>
  <si>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</si>
  <si>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</si>
  <si>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</si>
  <si>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</si>
  <si>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</si>
  <si>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</si>
  <si>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</si>
  <si>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</si>
  <si>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</si>
  <si>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</si>
  <si>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</si>
  <si>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</si>
  <si>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</si>
  <si>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</si>
  <si>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</si>
  <si>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</si>
  <si>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</si>
  <si>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</si>
  <si>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</si>
  <si>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</si>
  <si>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</si>
  <si>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</si>
  <si>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</si>
  <si>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</si>
  <si>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</si>
  <si>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</si>
  <si>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</si>
  <si>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</si>
  <si>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</si>
  <si>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</si>
  <si>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</si>
  <si>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</si>
  <si>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</si>
  <si>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</si>
  <si>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</si>
  <si>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</si>
  <si>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</si>
  <si>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</si>
  <si>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</si>
  <si>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</si>
  <si>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</si>
  <si>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</si>
  <si>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</si>
  <si>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</si>
  <si>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</si>
  <si>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</si>
  <si>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</si>
  <si>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</si>
  <si>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</si>
  <si>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</si>
  <si>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</si>
  <si>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</si>
  <si>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</si>
  <si>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</si>
  <si>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</si>
  <si>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</si>
  <si>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</si>
  <si>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</si>
  <si>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</si>
  <si>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</si>
  <si>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</si>
  <si>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</si>
  <si>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</si>
  <si>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</si>
  <si>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</si>
  <si>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</si>
  <si>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</si>
  <si>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</si>
  <si>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</si>
  <si>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</si>
  <si>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</si>
  <si>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</si>
  <si>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</si>
  <si>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</si>
  <si>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</si>
  <si>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</si>
  <si>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</si>
  <si>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</si>
  <si>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</si>
  <si>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</si>
  <si>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</si>
  <si>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</si>
  <si>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</si>
  <si>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</si>
  <si>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</si>
  <si>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</si>
  <si>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</si>
  <si>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</si>
  <si>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</si>
  <si>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</si>
  <si>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</si>
  <si>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</si>
  <si>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</si>
  <si>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</si>
  <si>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</si>
  <si>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</si>
  <si>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</si>
  <si>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</si>
  <si>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</si>
  <si>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</si>
  <si>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</si>
  <si>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</si>
  <si>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</si>
  <si>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</si>
  <si>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</si>
  <si>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</si>
  <si>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</si>
  <si>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</si>
  <si>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</si>
  <si>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</si>
  <si>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</si>
  <si>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</si>
  <si>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</si>
  <si>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</si>
  <si>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</si>
  <si>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</si>
  <si>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</si>
  <si>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</si>
  <si>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</si>
  <si>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</si>
  <si>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</si>
  <si>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</si>
  <si>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</si>
  <si>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</si>
  <si>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</si>
  <si>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</si>
  <si>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</si>
  <si>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</si>
  <si>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</si>
  <si>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</si>
  <si>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</si>
  <si>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</si>
  <si>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</si>
  <si>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</si>
  <si>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</si>
  <si>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</si>
  <si>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</si>
  <si>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</si>
  <si>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</si>
  <si>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</si>
  <si>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</si>
  <si>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</si>
  <si>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</si>
  <si>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</si>
  <si>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</si>
  <si>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</si>
  <si>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</si>
  <si>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</si>
  <si>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</si>
  <si>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</si>
  <si>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</si>
  <si>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</si>
  <si>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</si>
  <si>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</si>
  <si>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</si>
  <si>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</si>
  <si>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</si>
  <si>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</si>
  <si>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</si>
  <si>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</si>
  <si>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</si>
  <si>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</si>
  <si>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</si>
  <si>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</si>
  <si>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</si>
  <si>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</si>
  <si>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</si>
  <si>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</si>
  <si>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</si>
  <si>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</si>
  <si>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</si>
  <si>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</si>
  <si>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</si>
  <si>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</si>
  <si>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</si>
  <si>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</si>
  <si>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</si>
  <si>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</si>
  <si>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</si>
  <si>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</si>
  <si>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</si>
  <si>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</si>
  <si>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</si>
  <si>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</si>
  <si>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</si>
  <si>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</si>
  <si>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</si>
  <si>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</si>
  <si>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</si>
  <si>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</si>
  <si>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</si>
  <si>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</si>
  <si>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</si>
  <si>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</si>
  <si>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</si>
  <si>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</si>
  <si>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</si>
  <si>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</si>
  <si>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</si>
  <si>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</si>
  <si>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</si>
  <si>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</si>
  <si>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</si>
  <si>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</si>
  <si>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</si>
  <si>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</si>
  <si>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</si>
  <si>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</si>
  <si>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</si>
  <si>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</si>
  <si>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</si>
  <si>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</si>
  <si>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</si>
  <si>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</si>
  <si>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</si>
  <si>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</si>
  <si>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</si>
  <si>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</si>
  <si>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</si>
  <si>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</si>
  <si>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</si>
  <si>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</si>
  <si>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</si>
  <si>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</si>
  <si>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</si>
  <si>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</si>
  <si>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</si>
  <si>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</si>
  <si>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</si>
  <si>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</si>
  <si>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</si>
  <si>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</si>
  <si>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</si>
  <si>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</si>
  <si>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</si>
  <si>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</si>
  <si>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</si>
  <si>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</si>
  <si>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</si>
  <si>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</si>
  <si>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</si>
  <si>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</si>
  <si>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</si>
  <si>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</si>
  <si>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</si>
  <si>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</si>
  <si>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</si>
  <si>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</si>
  <si>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</si>
  <si>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</si>
  <si>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</si>
  <si>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</si>
  <si>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</si>
  <si>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</si>
  <si>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</si>
  <si>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</si>
  <si>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</si>
  <si>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</si>
  <si>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</si>
  <si>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</si>
  <si>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</si>
  <si>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</si>
  <si>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</si>
  <si>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</si>
  <si>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</si>
  <si>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</si>
  <si>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</si>
  <si>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</si>
  <si>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</si>
  <si>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</si>
  <si>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</si>
  <si>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</si>
  <si>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</si>
  <si>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</si>
  <si>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</si>
  <si>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</si>
  <si>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</si>
  <si>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</si>
  <si>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</si>
  <si>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</si>
  <si>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</si>
  <si>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</si>
  <si>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</si>
  <si>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</si>
  <si>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</si>
  <si>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</si>
  <si>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</si>
  <si>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</si>
  <si>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</si>
  <si>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</si>
  <si>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</si>
  <si>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</si>
  <si>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</si>
  <si>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</si>
  <si>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</si>
  <si>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</si>
  <si>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</si>
  <si>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</si>
  <si>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</si>
  <si>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</si>
  <si>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</si>
  <si>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</si>
  <si>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</si>
  <si>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</si>
  <si>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</si>
  <si>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</si>
  <si>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</si>
  <si>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</si>
  <si>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</si>
  <si>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</si>
  <si>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</si>
  <si>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</si>
  <si>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</si>
  <si>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</si>
  <si>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</si>
  <si>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</si>
  <si>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</si>
  <si>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</si>
  <si>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</si>
  <si>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</si>
  <si>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</si>
  <si>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</si>
  <si>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</si>
  <si>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</si>
  <si>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</si>
  <si>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</si>
  <si>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</si>
  <si>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</si>
  <si>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</si>
  <si>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</si>
  <si>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</si>
  <si>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</si>
  <si>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</si>
  <si>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</si>
  <si>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</si>
  <si>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</si>
  <si>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</si>
  <si>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</si>
  <si>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</si>
  <si>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</si>
  <si>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</si>
  <si>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</si>
  <si>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</si>
  <si>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</si>
  <si>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</si>
  <si>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</si>
  <si>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</si>
  <si>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</si>
  <si>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</si>
  <si>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</si>
  <si>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</si>
  <si>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</si>
  <si>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</si>
  <si>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</si>
  <si>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</si>
  <si>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</si>
  <si>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</si>
  <si>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</si>
  <si>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</si>
  <si>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</si>
  <si>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</si>
  <si>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</si>
  <si>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</si>
  <si>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</si>
  <si>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</si>
  <si>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</si>
  <si>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</si>
  <si>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</si>
  <si>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</si>
  <si>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</si>
  <si>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</si>
  <si>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</si>
  <si>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</si>
  <si>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</si>
  <si>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</si>
  <si>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</si>
  <si>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</si>
  <si>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</si>
  <si>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</si>
  <si>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</si>
  <si>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</si>
  <si>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</si>
  <si>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</si>
  <si>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</si>
  <si>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</si>
  <si>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</si>
  <si>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</si>
  <si>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</si>
  <si>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</si>
  <si>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</si>
  <si>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</si>
  <si>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</si>
  <si>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</si>
  <si>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</si>
  <si>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</si>
  <si>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</si>
  <si>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</si>
  <si>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</si>
  <si>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</si>
  <si>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</si>
  <si>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</si>
  <si>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</si>
  <si>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</si>
  <si>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</si>
  <si>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</si>
  <si>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</si>
  <si>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</si>
  <si>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</si>
  <si>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</si>
  <si>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</si>
  <si>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</si>
  <si>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</si>
  <si>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</si>
  <si>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</si>
  <si>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</si>
  <si>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</si>
  <si>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</si>
  <si>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</si>
  <si>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</si>
  <si>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</si>
  <si>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</si>
  <si>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</si>
  <si>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</si>
  <si>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</si>
  <si>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</si>
  <si>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</si>
  <si>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</si>
  <si>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</si>
  <si>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</si>
  <si>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</si>
  <si>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</si>
  <si>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</si>
  <si>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</si>
  <si>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</si>
  <si>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</si>
  <si>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</si>
  <si>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</si>
  <si>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</si>
  <si>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</si>
  <si>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</si>
  <si>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</si>
  <si>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</si>
  <si>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</si>
  <si>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</si>
  <si>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</si>
  <si>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</si>
  <si>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</si>
  <si>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</si>
  <si>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</si>
  <si>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</si>
  <si>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</si>
  <si>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</si>
  <si>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</si>
  <si>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</si>
  <si>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</si>
  <si>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</si>
  <si>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</si>
  <si>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</si>
  <si>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</si>
  <si>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</si>
  <si>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</si>
  <si>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</si>
  <si>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</si>
  <si>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</si>
  <si>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</si>
  <si>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</si>
  <si>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</si>
  <si>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</si>
  <si>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</si>
  <si>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</si>
  <si>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</si>
  <si>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</si>
  <si>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</si>
  <si>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</si>
  <si>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</si>
  <si>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</si>
  <si>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</si>
  <si>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</si>
  <si>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374</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</si>
  <si>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</si>
  <si>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</si>
  <si>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</si>
  <si>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</si>
  <si>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</si>
  <si>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</si>
  <si>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</si>
  <si>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</si>
  <si>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</si>
  <si>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</si>
  <si>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</si>
  <si>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</si>
  <si>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</si>
  <si>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</si>
  <si>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</si>
  <si>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</si>
  <si>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</si>
  <si>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</si>
  <si>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</si>
  <si>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</si>
  <si>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</si>
  <si>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</si>
  <si>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</si>
  <si>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</si>
  <si>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</si>
  <si>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</si>
  <si>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</si>
  <si>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</si>
  <si>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</si>
  <si>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</si>
  <si>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</si>
  <si>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</si>
  <si>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</si>
  <si>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</si>
  <si>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</si>
  <si>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</si>
  <si>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</si>
  <si>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</si>
  <si>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</si>
  <si>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</si>
  <si>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</si>
  <si>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</si>
  <si>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</si>
  <si>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</si>
  <si>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</si>
  <si>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</si>
  <si>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</si>
  <si>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</si>
  <si>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</si>
  <si>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</si>
  <si>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</si>
  <si>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</si>
  <si>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</si>
  <si>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</si>
  <si>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</si>
  <si>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</si>
  <si>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</si>
  <si>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</si>
  <si>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</si>
  <si>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</si>
  <si>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</si>
  <si>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</si>
  <si>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</si>
  <si>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</si>
  <si>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</si>
  <si>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</si>
  <si>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</si>
  <si>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</si>
  <si>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</si>
  <si>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</si>
  <si>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</si>
  <si>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</si>
  <si>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</si>
  <si>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</si>
  <si>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</si>
  <si>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</si>
  <si>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</si>
  <si>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</si>
  <si>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</si>
  <si>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</si>
  <si>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</si>
  <si>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</si>
  <si>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</si>
  <si>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</si>
  <si>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</si>
  <si>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</si>
  <si>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</si>
  <si>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</si>
  <si>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</si>
  <si>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</si>
  <si>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</si>
  <si>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</si>
  <si>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</si>
  <si>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</si>
  <si>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</si>
  <si>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</si>
  <si>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</si>
  <si>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</si>
  <si>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</si>
  <si>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</si>
  <si>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</si>
  <si>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</si>
  <si>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</si>
  <si>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</si>
  <si>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</si>
  <si>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</si>
  <si>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</si>
  <si>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</si>
  <si>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</si>
  <si>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</si>
  <si>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</si>
  <si>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</si>
  <si>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</si>
  <si>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</si>
  <si>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</si>
  <si>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</si>
  <si>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</si>
  <si>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</si>
  <si>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</si>
  <si>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</si>
  <si>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</si>
  <si>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</si>
  <si>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</si>
  <si>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</si>
  <si>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</si>
  <si>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</si>
  <si>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</si>
  <si>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</si>
  <si>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</si>
  <si>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</si>
  <si>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</si>
  <si>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</si>
  <si>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</si>
  <si>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</si>
  <si>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</si>
  <si>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</si>
  <si>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</si>
  <si>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</si>
  <si>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</si>
  <si>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</si>
  <si>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</si>
  <si>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</si>
  <si>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</si>
  <si>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</si>
  <si>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</si>
  <si>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</si>
  <si>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</si>
  <si>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</si>
  <si>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</si>
  <si>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</si>
  <si>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</si>
  <si>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</si>
  <si>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</si>
  <si>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</si>
  <si>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</si>
  <si>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</si>
  <si>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</si>
  <si>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</si>
  <si>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</si>
  <si>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</si>
  <si>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</si>
  <si>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</si>
  <si>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</si>
  <si>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</si>
  <si>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</si>
  <si>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</si>
  <si>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</si>
  <si>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</si>
  <si>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</si>
  <si>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</si>
  <si>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</si>
  <si>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</si>
  <si>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</si>
  <si>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</si>
  <si>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</si>
  <si>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</si>
  <si>
    <t>http://www.bvndgiadinh.org.vn/</t>
  </si>
  <si>
    <t>Bệnh thường gặp, Cấp cứu, Chấn thương chỉnh hình, Điều dưỡng, Gây mê, Hồi sức, Hô hấp, Nam khoa, Ngoại hô hấp, Ngoại tổng hợp, Nội tiết, Nội tim mạch, Nội tim mạch, Nội tiết và đường máu, Phẫu thuật, Sản khoa - Phụ khoa, Thần kinh, Thận nội tiết, Thận tiết niệu, Tiêu hóa - Gan - Mật, Tiết niệu, Tim mạch, Vật lý trị liệu, Tim mạch, Xương khớp, Y học cổ truyền, Xét nghiệm, Nhi khoa, Tai - Mũi - Họng, Răng - Hàm - Mặt</t>
  </si>
  <si>
    <t>07:00 - 16:00</t>
  </si>
  <si>
    <t>http://www.bvbinhdan.com.vn</t>
  </si>
  <si>
    <t>http://www.benhvien115.com.vn</t>
  </si>
  <si>
    <t>07:00 - 16:30</t>
  </si>
  <si>
    <t>07:00 - 12:00</t>
  </si>
  <si>
    <t>Bệnh thường gặp, Xét nghiệm, Chuẩn đoán hình ảnh, Ung bướu, Cấp cứu, Thần kinh, Tim mạch, Gây mê, Hồi sức, Hô hấp, Phục hồi chức năng, Chấn thương chỉnh hình, Bệnh truyền nhiễm, Dược, Dinh dưỡng, Mắt, Nội tiết, Nội tim mạch, Xương khớp, Răng - Hàm - Mặt, Ngoại tổng quát, Nội tổng hợp, Tai - Mũi - Họng, Y học thể thao, Y học cổ truyền</t>
  </si>
  <si>
    <t>http://www.benhvien304.vn</t>
  </si>
  <si>
    <t>info@trieuan.vn</t>
  </si>
  <si>
    <t>http://www.trieuan.vn</t>
  </si>
  <si>
    <t>Bệnh thường gặp, Nhi khoa, Xét nghiệm</t>
  </si>
  <si>
    <t>05:00 - 19:00</t>
  </si>
  <si>
    <t>06:30 - 11:30</t>
  </si>
  <si>
    <t>Bệnh thường gặp, Tim mạch, Ngoại tổng quát, Nội tổng quát, Phẫu thuật, Thần kinh, Tiết niệu, Thận tiết niệu, Hồi sức, Cấp cứu, Tai - Mũi - Họng, Răng - Hàm - Mặt, Da liễu, Mắt, Gây mê, Xét nghiệm, Chuẩn đoán hình ảnh, Dược</t>
  </si>
  <si>
    <t>Cấp cứu khẩn cấp, Chăm sóc thay thế cho thân nhân, Chăm sóc y tế tại gia, Khám bệnh dịch vụ, Khám sức khỏe tổng quát, Kiểm tra tình hình sức khỏe định kỳ, Đặt lịch khám qua mạng, Truyền thông đa phương tiện</t>
  </si>
  <si>
    <t>http://www.hoanmy.com/saigon/</t>
  </si>
  <si>
    <t>http://www.ansinh.com.vn/</t>
  </si>
  <si>
    <t>Bệnh thường gặp, Cấp cứu, Hồi sức, Nội tổng hợp, Huyết học, Ngoại tổng hợp, Y học thể thao, Xương khớp, Vật lý trị liệu, Phẫu thuật thẩm mỹ, Nhi khoa, Sản khoa - Phụ khoa, Sinh lý sinh sản, Chuẩn đoán hình ảnh, Tai - Mũi - Họng, Xét nghiệm, Nội soi, Dược, Răng - Hàm - Mặt</t>
  </si>
  <si>
    <t>Khám bệnh dịch vụ, Phòng vệ sinh riêng, Cấp cứu khẩn cấp, Kết nối Internet, Nút bấm gọi khẩn cấp, Tư vấn chế độ ăn uống, TV riêng, Phục vụ đồ ăn sáng, trưa, tối, Liên lạc trực tiếp với nhân viên trực, Chăm sóc thay thế cho thân nhân, Bảo vệ an ninh, Đăng ký bảo hiểm y tế, Điều hòa, Dễ tiếp cận các phương tiện công cộng, Tiếp nhận bệnh nhân mới, Xe đưa đón tận nhà</t>
  </si>
  <si>
    <t>07:30 - 12:00</t>
  </si>
  <si>
    <t>07:30 - 19:00</t>
  </si>
  <si>
    <t>06:30 - 12:00</t>
  </si>
  <si>
    <t>bvdh@hcm.vnn.vn</t>
  </si>
  <si>
    <t>http://www.bvdaihoc.com.vn/</t>
  </si>
  <si>
    <t>Bệnh thường gặp, Cấp cứu, Mắt, Hồi sức, Tiêu hóa - Gan - Mật, Ngoại tổng hợp, Nội tim mạch, Nội tổng hợp, Phẫu thuật, Răng - Hàm - Mặt, Tim mạch, Phẫu thuật thẩm mỹ, Tai - Mũi - Họng, Sản khoa - Phụ khoa, Thận nội tiết, Thần kinh, Vật lý trị liệu, Y học hạt nhân, Y học cổ truyền, Vi sinh, Xét nghiệm, Nội soi, Nội tiết, Hô hấp, Xương khớp, Dược, Chuẩn đoán hình ảnh, Bệnh truyền nhiễm, Tư vấn tâm lý - Tâm thần</t>
  </si>
  <si>
    <t>Bảo vệ an ninh, Cấp cứu khẩn cấp, TV riêng, Tủ lạnh riêng, Điều hòa, Kết nối Internet, Liên lạc trực tiếp với nhân viên trực, Nút bấm gọi khẩn cấp, Phòng vệ sinh riêng, Bình dưỡng khí, Chăm sóc thay thế cho thân nhân, Chăm sóc cho người già, Xe đưa đón tận nhà, Tư vấn chế độ ăn uống, Phục vụ đồ ăn sáng, trưa, tối, Đăng ký bảo hiểm y tế, Khám bệnh bảo hiểm y tế, Khám bệnh dịch vụ</t>
  </si>
  <si>
    <t>Bệnh thường gặp, Hô hấp, Tiêu hóa - Gan - Mật, Tim mạch, Tiết niệu, Nội tiết, Xương khớp, Bệnh truyền nhiễm</t>
  </si>
  <si>
    <t>Đặt lịch khám qua mạng, Xe đưa đón tận nhà, Chăm sóc y tế tại gia, Đăng ký bảo hiểm y tế, Dễ tiếp cận các phương tiện công cộng, Điều hòa, Khám sức khỏe tổng quát, Khám bệnh dịch vụ, Kiểm tra tình hình sức khỏe định kỳ, Phòng vệ sinh riêng, Phục vụ đồ ăn sáng, trưa, tối, Tiếp nhận bệnh nhân mới, Tủ lạnh riêng, TV riêng, Tư vấn chế độ ăn uống</t>
  </si>
  <si>
    <t>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 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t>
  </si>
  <si>
    <t>http://www.nhidong.org.vn</t>
  </si>
  <si>
    <t>07:30 - 20:00</t>
  </si>
  <si>
    <t>07:00 - 10:30</t>
  </si>
  <si>
    <t>http://www.pasteur-hcm.org.vn</t>
  </si>
  <si>
    <t>http://www.bthh.org.vn</t>
  </si>
  <si>
    <t>http://www.medic.com.vn/</t>
  </si>
  <si>
    <t>04:00 - 19:00</t>
  </si>
  <si>
    <t>04:00 - 12:00</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</si>
  <si>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</si>
  <si>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</si>
  <si>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</si>
  <si>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 Khu vực rèn luyện sức khỏe</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</si>
  <si>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 Chăm sóc y tế tại gia</t>
  </si>
  <si>
    <t>đa khoa, 24/7, bác sỹ giỏi, trang thiết bị hiện đại, bãi giữ xe rộng, không gian thoáng đãng, thủ tục nhanh gọn, gần những trung tâm tiện ích, không nằm ghép, tỷ lệ biến chứng thấp, hồi phục nhanh, phòng dịch vụ, cấp cứu tai nạn, tiêu chuẩn chất lượng</t>
  </si>
  <si>
    <t>Giá cả phải chăng, nội soi, tiêu hóa, gan, mật, tụy, gần trung tâm thành phố, đèn tín hiệu qua đường, nhân viên có kinh nghiệm, bác sỹ giỏi, yên tâm</t>
  </si>
  <si>
    <t>y học cổ truyền, xương khớp, ít biến chứng, 115, cấp cứu khẩn cấp, yên tâm tuyệt đối, không gian thoáng đãng, lịch sự, sạch sẽ, không nằm ghép, bác sỹ tận tâm, lương y như từ mẫu</t>
  </si>
  <si>
    <t>quân đội, cảnh sát, cán bộ nhà nước, cán bộ về hưu, người có công với cách mạng, mẹ Việt Nam anh hùng, dịch vụ tốt, giá cả phải chăng, phòng dịch vụ đơn, phòng dịch vụ đôi</t>
  </si>
  <si>
    <t>Cấp cứu, Gây mê, Hồi sức, Nội tổng quát, Y học cổ truyền, Vật lý trị liệu, Phẫu thuật, Tiết niệu, Thần kinh, Nhi khoa, Nội tiết, Sản khoa - Phụ khoa, Phẫu thuật thẩm mỹ, Dược, Xét nghiệm, Dinh dưỡng, Bệnh thường gặp</t>
  </si>
  <si>
    <t>Ngoại tổng quát, Tiêu hóa - Gan - Mật, Nội tiết và đường máu, Hô hấp, Gây mê, Hồi sức, Huyết học, Nam khoa, Ngoại hô hấp, Phẫu thuật thẩm mỹ, Nội soi, Thận tiết niệu, Bệnh thường gặp</t>
  </si>
  <si>
    <t>Ngoại tổng hợp, Chấn thương chỉnh hình, Phục hồi chức năng, Sản khoa - Phụ khoa, Dược, Gây mê, Hồi sức, Phẫu thuật, Cấp cứu, Bệnh thường gặp, Nội tim mạch, Sinh lý sinh sản, Vật lý trị liệu, Thần kinh, Tư vấn tâm lý - Tâm thần, Tiêu hóa - Gan - Mật, Bệnh truyền nhiễm, Da liễu, Hô hấp, Thận nội tiết, Xương khớp, Huyết học, Chuẩn đoán hình ảnh, Hóa sinh, Vi sinh, Dinh dưỡng, Bệnh thường gặp</t>
  </si>
  <si>
    <t>Cấp cứu khẩn cấp, đội ngũ bác sỹ uy tín, tay nghề cao, kỹ thuật cao, cơ sở vật chất tốt, bệnh nhân bảo hiểm y tế, bệnh nhân tuyến dưới, dịch vụ phòng, dịch vụ trông nom người thân tại gia</t>
  </si>
  <si>
    <t>Dịch vụ tốt, giá cả phù hợp, nhân viên tận tình, bác sỹ giỏi, cơ sở vật chất đảm bảo, điều kiện chăm sóc tốt, hồi phục nhanh, đảm bảo chất lượng, nhiều chi nhánh</t>
  </si>
  <si>
    <t>Yên tâm tuyệt đối, hỗ trợ chăm sóc người thân, phục vụ tốt, tận tình với bệnh nhân, hỗ trợ chuyển viện nhanh chóng, thủ tục gọc lẹ, xe chuyên dụng, không nằm ghép, khi nghỉ ngơi cho người thân, không quá tải</t>
  </si>
  <si>
    <t>đại học y dược, gần trung tâm, chấp nhận tuyến dưới, cấp cứu khẩn cấp, dịch vụ tốt, trình độ chuyên môn cao, đào tạo nhân lực giỏi, y bác sỹ tận tâm, lương y như từ mẫu, bãi giữ xe rộng, đường đi rộng, phòng thoáng mát</t>
  </si>
  <si>
    <t>xe đưa đón tận nhà, truyền thông đa phương tiện, kết nối không dây, niềm tin tuyệt đối, dịch vụ tốt, giá cả hợp lý, hỗ trợ bệnh nhân nghèo, hoạt động xã hội, bữa ăn từ thiện, tấm lòng nhân ái, trình độ chuyên môn cao, bác sỹ giỏi, lành nghề, du học nước ngoài</t>
  </si>
  <si>
    <t>Bệnh thường gặp, Cấp cứu, Tai - Mũi - Họng, Răng - Hàm - Mặt, Bệnh truyền nhiễm, Hô hấp, Xét nghiệm, Huyết học, Ngoại tổng quát, Thần kinh</t>
  </si>
  <si>
    <t>Bệnh truyền nhiễm, tiêm phòng quốc gia, cách ly tuyệt đối, nâng cấp cơ sở hạ tầng, kỹ thuật cao, tin cậy, giá cả hợp lý, không gian thoải mái, dịch bệnh, đại dịch, ngăn ngừa lây nhiễm, tiêm chủng người, động vật</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</si>
  <si>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</si>
  <si>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</si>
  <si>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thường gặp, Vi sinh, Xét nghiệm, Hóa sinh, Dược, Di truyền, Dinh dưỡng</t>
  </si>
  <si>
    <t>Bãi giữ xe máy, Bãi giữ xe ô tô, Khu vực cây xanh, Thư viện tra cứu thông tin, Tra cứu thông tin trực tuyến, Khu ăn uống</t>
  </si>
  <si>
    <t>phòng bệnh, xét nghiệm, dinh dưỡng, phòng chống dịch bệnh, an toàn, chính xác, bí mật, tin tưởng, phát hiện sớm bệnh, tư vấn dinh dưỡng, điều tra pháp y, tiêm ngừa, tiêm chủng, người, động vật, cơ sở hiện đại, nhân viên tay nghề cao</t>
  </si>
  <si>
    <t>Đặt lịch khám qua tổng đài 1080, Cấp cứu khẩn cấp</t>
  </si>
  <si>
    <t>Bãi giữ xe ô tô, Bãi giữ xe máy, Khu ăn uống, Khu vui chơi thiếu nhi, Nhà vệ sinh cho người khuyết tật, Khu vực cây xanh</t>
  </si>
  <si>
    <t>Bệnh thường gặp, Huyết học, Phẫu thuật, Di truyền, Dược, Chuẩn đoán hình ảnh, Hồi sức, Cấp cứu, Điều dưỡng, Di truyền, Xét nghiệm, Hóa sinh</t>
  </si>
  <si>
    <t>truyền máu, hiến máu nhân đạo, xét nghiệm, ngân hàng máu, hỗ trợ bảo hiểm y tế, khám theo yêu cầu</t>
  </si>
  <si>
    <t>Bãi giữ xe máy, Bãi giữ xe ô tô, Khu ăn uống</t>
  </si>
  <si>
    <t>Bãi giữ xe máy, Bãi giữ xe ô tô, Khu ăn uống, Kết nối không dây</t>
  </si>
  <si>
    <t>Khám sức khỏe tổng quát, Kiểm tra tình hình sức khỏe định kỳ, Cấp cứu khẩn cấp</t>
  </si>
  <si>
    <t>Chấp nhận bệnh nhân chuyển lên từ tuyến dưới, Cấp cứu khẩn cấp, Bảo vệ an ninh, Khám bệnh dịch vụ, Đăng ký bảo hiểm y tế, Khám bệnh bảo hiểm y tế, Cấp cứu khẩn cấp</t>
  </si>
  <si>
    <t>Nội soi, Xét nghiệm, Phẫu thuật, Sinh lý sinh sản, Chuẩn đoán hình ảnh, Xét nghiệm, Hóa sinh</t>
  </si>
  <si>
    <t>tư vấn tâm lý, rối loạn sinh học, tư vấn mang thai, khám thai, chẩn đoán hình ảnh, xét nghiệm, triệu chứng, tư vấn điều trị, kiểm tra kết quả, xác nhận phác đồ điều trị</t>
  </si>
  <si>
    <t>Chấn thương chỉnh hình, Chuẩn đoán hình ảnh, Xét nghiệm, Vật lý trị liệu, Ung bướu</t>
  </si>
  <si>
    <t>Chấn thương chỉnh hình, Chuẩn đoán hình ảnh, Vật lý trị liệu</t>
  </si>
  <si>
    <t>Cấp cứu khẩn cấp, Khám bệnh bảo hiểm y tế, Khám bệnh dịch vụ, Điều hòa, Tủ lạnh riêng, TV riêng, Nút bấm gọi khẩn cấp</t>
  </si>
  <si>
    <t>Chăm sóc y tế tại gia, Theo dõi từ xa qua hệ thống máy quay, Tiếp nhận bệnh nhân mới, Chấp nhận bệnh nhân chuyển lên từ tuyến dưới, Phục vụ đồ ăn sáng, trưa, tối, Bảo vệ an ninh</t>
  </si>
  <si>
    <t>Cấp cứu khẩn cấp, Chấp nhận bệnh nhân chuyển lên từ tuyến dưới, Tiếp nhận bệnh nhân mới, Phòng vệ sinh riêng</t>
  </si>
  <si>
    <t>Kiểm tra tình hình sức khỏe định kỳ, Khám sức khỏe tổng quát</t>
  </si>
  <si>
    <t>Bảo vệ an ninh, Kiểm tra tình hình sức khỏe định kỳ, Nút bấm gọi khẩn cấp</t>
  </si>
  <si>
    <t>Bảo vệ an ninh, Chăm sóc y tế tại gia, Kiểm tra tình hình sức khỏe định kỳ, Phòng vệ sinh riêng, TV riêng, Tủ lạnh riêng, Tư vấn chế độ ăn uống, Dễ tiếp cận các phương tiện công cộng, Nút bấm gọi khẩn cấp</t>
  </si>
  <si>
    <t>Cấp cứu khẩn cấp, Khám bệnh bảo hiểm y tế, Đăng ký bảo hiểm y tế, Khám bệnh dịch vụ, Kiểm tra tình hình sức khỏe định kỳ</t>
  </si>
  <si>
    <t>Cấp cứu khẩn cấp, Kiểm tra tình hình sức khỏe định kỳ, Khám sức khỏe tổng quát, Đăng ký bảo hiểm y tế, Khám bệnh bảo hiểm y tế, Khám bệnh dịch vụ</t>
  </si>
  <si>
    <t>Bãi giữ xe máy, Bãi giữ xe ô tô, Bãi giữ xe đạp, Khu ăn uống</t>
  </si>
  <si>
    <t>Bãi giữ xe máy, Bãi giữ xe ô tô, Khu ăn uống, Khu vực cây xanh</t>
  </si>
  <si>
    <t>Bãi giữ xe máy, Bãi giữ xe ô tô, Khu ăn uống, Khu vực cây xanh, Khu vực rèn luyện sức khỏe, Khu vui chơi thiếu nhi, Nhà vệ sinh cho người khuyết tật</t>
  </si>
  <si>
    <t>Bãi giữ xe máy, Bãi giữ xe ô tô, Bãi giữ xe đạp, Khu ăn uống, Khu vực cây xanh, Tạp hóa</t>
  </si>
  <si>
    <t>Bãi giữ xe máy, Bãi giữ xe ô tô, Đường đi riêng cho người khuyết tật, Kết nối không dây, Khu ăn uống, Khu vui chơi thiếu nhi, Thông báo tái khám qua tin nhắn, Tra cứu thông tin trực tuyến</t>
  </si>
  <si>
    <t>Trợ tim, cấp cứu tim mạch, tắc mạch máu, phình động mạch chủ, hẹp van tin, khó thở, nhồi máu cơ tim, bác sỹ tay nghề cao, dịch vụ tốt, tận tâm</t>
  </si>
  <si>
    <t>Trợ tim, cấp cứu tim mạch, tắc mạch máu, phình động mạch chủ, hẹp van tin, khó thở, nhồi máu cơ tim, dịch vụ quốc tế, tiêu chuẩn cao, chăm sóc tận tình, gần trung tâm, khu đô thị mới, giãn tĩnh mạch tim</t>
  </si>
  <si>
    <t>Tai nạn giao thông, cấp cứu tai nạn, vật lý trị liệu, băng bó, nạng, xe lăn, khuôn viên rộng, thoáng mát, chuyên chỉnh hình</t>
  </si>
  <si>
    <t>An ninh, kiên nhẫn, tận tâm, tư vấn tâm lý, điều trị tâm lý, điều trị tổn thương, an ninh đảm bảo, nhân viên theo sát bệnh nhân, bác sỹ có kinh nghiệm, đưa đó tận nhà</t>
  </si>
  <si>
    <t>An ninh, kiên nhẫn, tận tâm, tư vấn tâm lý, điều trị tâm lý, điều trị tổn thương, an ninh đảm bảo, sát sao, theo dõi thường xuyên, báo cáo hằng ngày, gia đình yên tâm</t>
  </si>
  <si>
    <t>lao, phổi, ho, hô hấp mãn tính, hô hấp cấp tính, chuyên trị lao phổi, môi trường vô trùng đảm bảo, không ghép giường</t>
  </si>
  <si>
    <t>dịch vụ tốt, niềm vui cho mẹ và bé, mẹ tròn con vuông, thoải mái, yên tâm, tư vấn tâm lý, an ninh, mô trường vô trùng, lồng ấp, thụ tinh nhân tạo, vô sinh, hiến muộn, khuôn viên rộng, sinh bằng nhiều phương pháp</t>
  </si>
  <si>
    <t xml:space="preserve">dịch vụ tốt, niềm vui cho mẹ và bé, mẹ tròn con vuông, thoải mái, yên tâm, tư vấn tâm lý, an ninh, </t>
  </si>
  <si>
    <t>dịch vụ tốt, niềm vui cho mẹ và bé, mẹ tròn con vuông, thoải mái, yên tâm, tư vấn tâm lý, an ninh, môi trường vô trùng, lồng ấp, thụ tinh nhân tạo, vô sinh, hiến muộn</t>
  </si>
  <si>
    <t>ung thư, xạ trị, hóa trị liệu, khối u, ác tính, lành tính, tế bào, tổn thương nội tạng</t>
  </si>
  <si>
    <t>y học cổ truyền, châm cứu, mát xa, dược liệu, ngải cứu, đông y, nam dược, thuốc bắc, dược liệu hiếm</t>
  </si>
  <si>
    <t>tổn thương, ngoài da, sần sùi, trầy xước, lây nhiễm, ung thư da, cấy ghép</t>
  </si>
  <si>
    <t>tổn thương khúc mạc, giác mạc, cận thị, viễn thị, không nhìn rõ, lão, thoái hóa</t>
  </si>
  <si>
    <t>tổn thương khúc mạc, giác mạc, cận thị, viễn thị, không nhìn rõ, lão, thoái hóa, giá cá phù hợp, cấy ghép, hiến giác mạc</t>
  </si>
  <si>
    <t>tổn thương khúc mạc, giác mạc, cận thị, viễn thị, không nhìn rõ, lão, thoái hóa, cấy ghép, ghép giác mạc, lấy lại thị lực, dịch vụ tốt, bác sỹ có kinh nghiệm, tin tưởng, tận tình, an tâm, hiến giác mạc</t>
  </si>
  <si>
    <t>tổng hợp tai mũi họng, tai, mũi, họng, bác sỹ lành nghề, nhi khoa, ung thư vòng miện, khó thở, suyễn, suy giảm thính giác, trợ thính</t>
  </si>
  <si>
    <t>chỉnh sửa thẩm mỹ, nha khoa, răng, trám, nhổ, lấy tủy, chụp phim, máy máy hiện đại, cơ sớ vật chất đảm bảo, bác sỹ có tay nghề, kinh nghiệm</t>
  </si>
  <si>
    <t>Bệnh viện Quận 1</t>
  </si>
  <si>
    <t>07:30 - 16:30</t>
  </si>
  <si>
    <t>338</t>
  </si>
  <si>
    <t>Hai Bà Trưng</t>
  </si>
  <si>
    <t>(08) 38202060</t>
  </si>
  <si>
    <t>(08) 38202059</t>
  </si>
  <si>
    <t>(08) 38205141</t>
  </si>
  <si>
    <t>Bệnh thường gặp, Cấp cứu, Sản khoa - Phụ khoa, Sinh lý sinh sản, Nhi khoa, Gây mê, Hồi sức, Ngoại tổng hợp, Ngoại tổng quát, Nội tổng hợp, Nội tổng quát, Dược, Chuẩn đoán hình ảnh, Xét nghiệm, Phẫu thuật, Y học cổ truyền, Vật lý trị liệu</t>
  </si>
  <si>
    <t>Bảo vệ an ninh, Bình dưỡng khí, Cấp cứu khẩn cấp, Đăng ký bảo hiểm y tế, Khám bệnh bảo hiểm y tế, Liên lạc trực tiếp với nhân viên trực, Khám sức khỏe tổng quát</t>
  </si>
  <si>
    <t>đa khoa, cấp cứu tai nạn, sức khỏe nhân dân,  cấp cứu 24/7, bảo hiểm, chi phí thấp, trung tâm quận</t>
  </si>
  <si>
    <t>Bệnh viện Quận 10</t>
  </si>
  <si>
    <t>571</t>
  </si>
  <si>
    <t>(08) 38626978</t>
  </si>
  <si>
    <t>(08) 38626977</t>
  </si>
  <si>
    <t>Bệnh thường gặp, Cấp cứu, Bệnh truyền nhiễm, Da liễu, Hô hấp, Tư vấn tâm lý - Tâm thần, Sinh lý sinh sản, Dinh dưỡng, Dược, Xét nghiệm</t>
  </si>
  <si>
    <t>đa khoa, cấp cứu tai nạn, sức khỏe nhân dân,  cấp cứu 24/7, bảo hiểm, chi phí thấp, trung tâm quận, mô hình bác sĩ gia đình</t>
  </si>
  <si>
    <t>Bệnh viện Quận 11</t>
  </si>
  <si>
    <t>Đường số 5</t>
  </si>
  <si>
    <t>(08) 38585961</t>
  </si>
  <si>
    <t>Bệnh viện Quận 12</t>
  </si>
  <si>
    <t>111</t>
  </si>
  <si>
    <t>Đường Tân Thới Hiệp 21</t>
  </si>
  <si>
    <t>(08) 62502632</t>
  </si>
  <si>
    <t>Bệnh viện Quận 2</t>
  </si>
  <si>
    <t xml:space="preserve">130 </t>
  </si>
  <si>
    <t>Lê Văn Thịnh</t>
  </si>
  <si>
    <t>(08) 37432369</t>
  </si>
  <si>
    <t>Bệnh viện Quận 3</t>
  </si>
  <si>
    <t>114-116</t>
  </si>
  <si>
    <t>(08) 39310401</t>
  </si>
  <si>
    <t>(08) 39310402</t>
  </si>
  <si>
    <t>(08) 39318371</t>
  </si>
  <si>
    <t>Bệnh thường gặp, Cấp cứu, Ngoại tổng hợp, Nội tổng hợp, Sản khoa - Phụ khoa, Sinh lý sinh sản, Nhi khoa, Nội tổng quát, Ngoại tổng quát, Răng - Hàm - Mặt, Tai - Mũi - Họng, Mắt, Nội soi, Xét nghiệm</t>
  </si>
  <si>
    <r>
      <t>Bệnh viện</t>
    </r>
    <r>
      <rPr>
        <b/>
        <sz val="11"/>
        <color theme="1"/>
        <rFont val="Calibri"/>
        <family val="2"/>
        <scheme val="minor"/>
      </rPr>
      <t xml:space="preserve"> </t>
    </r>
    <r>
      <rPr>
        <sz val="11"/>
        <color theme="1"/>
        <rFont val="Calibri"/>
        <family val="2"/>
        <scheme val="minor"/>
      </rPr>
      <t>Quận 4</t>
    </r>
  </si>
  <si>
    <t>63-65</t>
  </si>
  <si>
    <t>Bến Vân Đồn</t>
  </si>
  <si>
    <t>(08) 38261568</t>
  </si>
  <si>
    <t>(08) 38267229</t>
  </si>
  <si>
    <t>Bệnh viện Quận 5</t>
  </si>
  <si>
    <t>644</t>
  </si>
  <si>
    <t>(08) 38550235</t>
  </si>
  <si>
    <t>(08) 38550895</t>
  </si>
  <si>
    <t>Bệnh viện Quận 6</t>
  </si>
  <si>
    <t>A14/1</t>
  </si>
  <si>
    <t>Cư xá Phú Lâm</t>
  </si>
  <si>
    <t>(08) 37508255</t>
  </si>
  <si>
    <t>Bệnh viện Quận 7</t>
  </si>
  <si>
    <t>101</t>
  </si>
  <si>
    <t>Nguyễn Thị Thập</t>
  </si>
  <si>
    <t>(08) 37731421</t>
  </si>
  <si>
    <t>(08) 3873064</t>
  </si>
  <si>
    <t>Bệnh viện Quận 8</t>
  </si>
  <si>
    <t xml:space="preserve">82 </t>
  </si>
  <si>
    <t>Cao Lỗ</t>
  </si>
  <si>
    <t>(08) 38503615</t>
  </si>
  <si>
    <t>(08) 3850613</t>
  </si>
  <si>
    <t>Bệnh viện Quận 9</t>
  </si>
  <si>
    <t>Khu phố 2 Lê Văn Việt</t>
  </si>
  <si>
    <t>(08) 38973628</t>
  </si>
  <si>
    <t>Bệnh thường gặp, Cấp cứu, Hồi sức, Ngoại tổng hợp, Nội tổng hợp, Sản khoa - Phụ khoa, Y học cổ truyền, Phục hồi chức năng, Dinh dưỡng, Chuẩn đoán hình ảnh, Xét nghiệm, Bệnh truyền nhiễm, Dược</t>
  </si>
  <si>
    <t>Bệnh viện Huyện Bình Chánh</t>
  </si>
  <si>
    <t>E9/5</t>
  </si>
  <si>
    <t>Nguyễn Hữu Trí</t>
  </si>
  <si>
    <t>(08) 37602895</t>
  </si>
  <si>
    <t>Bệnh viện Quận Bình Tân</t>
  </si>
  <si>
    <t>1452</t>
  </si>
  <si>
    <t>Tỉnh lộ 10</t>
  </si>
  <si>
    <t>(08) 37541784</t>
  </si>
  <si>
    <t>Bệnh viện Quận Bình Thạnh</t>
  </si>
  <si>
    <t xml:space="preserve">112 </t>
  </si>
  <si>
    <t>Đinh Tiên Hoàng</t>
  </si>
  <si>
    <t>(08) 38888347</t>
  </si>
  <si>
    <t>(08) 38417403</t>
  </si>
  <si>
    <t>(08) 38418492</t>
  </si>
  <si>
    <t>Bệnh viện Huyện Cần Giờ</t>
  </si>
  <si>
    <t>06:30 - 16:30</t>
  </si>
  <si>
    <t>Đường Duyên Hải, Khu phố Miễu Nhì</t>
  </si>
  <si>
    <t>(08) 38740318</t>
  </si>
  <si>
    <t>Bệnh viện Huyện Củ Chi</t>
  </si>
  <si>
    <t>258</t>
  </si>
  <si>
    <t>Tỉnh lộ 7, Ấp Chợ</t>
  </si>
  <si>
    <t>(08) 37946443</t>
  </si>
  <si>
    <t>Bệnh viện Quận Gò Vấp</t>
  </si>
  <si>
    <t>212</t>
  </si>
  <si>
    <t>Lê Đức Thọ</t>
  </si>
  <si>
    <t>(08) 39964003</t>
  </si>
  <si>
    <t>Bệnh viện Huyện Hóc Môn</t>
  </si>
  <si>
    <t>65/2B</t>
  </si>
  <si>
    <t>Bà Triệu</t>
  </si>
  <si>
    <t>(08) 38914208</t>
  </si>
  <si>
    <t>281A</t>
  </si>
  <si>
    <t>Lê Văn Lương</t>
  </si>
  <si>
    <t>(08) 37815558</t>
  </si>
  <si>
    <t>(08) 37816570</t>
  </si>
  <si>
    <t>(08) 37817068</t>
  </si>
  <si>
    <t>Bệnh viện Quận Phú Nhuận</t>
  </si>
  <si>
    <t>274</t>
  </si>
  <si>
    <t>Nguyễn Trọng Tuyển</t>
  </si>
  <si>
    <t>(08) 38478707</t>
  </si>
  <si>
    <t>Bệnh viện Quận Tân Bình</t>
  </si>
  <si>
    <t>605</t>
  </si>
  <si>
    <t>Hoàng Văn Thụ</t>
  </si>
  <si>
    <t>Bệnh viện Quận Tân Phú</t>
  </si>
  <si>
    <t>34</t>
  </si>
  <si>
    <t>Trần Văn Giáp</t>
  </si>
  <si>
    <t>(08) 38657948</t>
  </si>
  <si>
    <t>(08) 54088924</t>
  </si>
  <si>
    <t>(08) 54067581</t>
  </si>
  <si>
    <t>Bệnh viện Quận Thủ Đức</t>
  </si>
  <si>
    <t xml:space="preserve">64 </t>
  </si>
  <si>
    <t>Lê Văn Chí</t>
  </si>
  <si>
    <t>(08) 37223556</t>
  </si>
  <si>
    <t>(08) 37222522</t>
  </si>
  <si>
    <t>dịch vụ tốt, niềm vui cho mẹ và bé, mẹ tròn con vuông, thoải mái, yên tâm, tư vấn tâm lý, an ninh, môi trường vô trùng, lồng ấp, thụ tinh nhân tạo, vô sinh, hiến muộn, khuôn viên rộng, sinh bằng nhiều phương pháp</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</si>
</sst>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
      <b/>
      <sz val="11"/>
      <color theme="1"/>
      <name val="Calibri"/>
      <family val="2"/>
      <scheme val="minor"/>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56">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xf numFmtId="49" fontId="0" fillId="3" borderId="0" xfId="0" applyNumberFormat="1" applyFill="1" applyAlignment="1">
      <alignment vertical="top"/>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0" fillId="3" borderId="6" xfId="0" applyNumberFormat="1" applyFill="1" applyBorder="1" applyAlignment="1">
      <alignment vertical="top"/>
    </xf>
    <xf numFmtId="49" fontId="0" fillId="0" borderId="2" xfId="0" applyNumberFormat="1" applyBorder="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bvdnd.vn/" TargetMode="External"/><Relationship Id="rId13" Type="http://schemas.openxmlformats.org/officeDocument/2006/relationships/printerSettings" Target="../printerSettings/printerSettings1.bin"/><Relationship Id="rId3" Type="http://schemas.openxmlformats.org/officeDocument/2006/relationships/hyperlink" Target="mailto:info@trieuan.vn" TargetMode="External"/><Relationship Id="rId7" Type="http://schemas.openxmlformats.org/officeDocument/2006/relationships/hyperlink" Target="http://www.bvdaihoc.com.vn/" TargetMode="External"/><Relationship Id="rId12" Type="http://schemas.openxmlformats.org/officeDocument/2006/relationships/hyperlink" Target="http://www.bthh.org.vn/" TargetMode="External"/><Relationship Id="rId2" Type="http://schemas.openxmlformats.org/officeDocument/2006/relationships/hyperlink" Target="http://www.benhvien304.vn/" TargetMode="External"/><Relationship Id="rId1" Type="http://schemas.openxmlformats.org/officeDocument/2006/relationships/hyperlink" Target="http://www.benhvien115.com.vn/" TargetMode="External"/><Relationship Id="rId6" Type="http://schemas.openxmlformats.org/officeDocument/2006/relationships/hyperlink" Target="mailto:bvdh@hcm.vnn.vn" TargetMode="External"/><Relationship Id="rId11" Type="http://schemas.openxmlformats.org/officeDocument/2006/relationships/hyperlink" Target="http://www.pasteur-hcm.org.vn/" TargetMode="External"/><Relationship Id="rId5" Type="http://schemas.openxmlformats.org/officeDocument/2006/relationships/hyperlink" Target="http://www.hoanmy.com/saigon/" TargetMode="External"/><Relationship Id="rId10" Type="http://schemas.openxmlformats.org/officeDocument/2006/relationships/hyperlink" Target="http://www.nhidong.org.vn/" TargetMode="External"/><Relationship Id="rId4" Type="http://schemas.openxmlformats.org/officeDocument/2006/relationships/hyperlink" Target="http://www.trieuan.vn/" TargetMode="External"/><Relationship Id="rId9"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workbookViewId="0">
      <pane xSplit="1" ySplit="1" topLeftCell="B40" activePane="bottomRight" state="frozen"/>
      <selection pane="topRight" activeCell="B1" sqref="B1"/>
      <selection pane="bottomLeft" activeCell="A2" sqref="A2"/>
      <selection pane="bottomRight" activeCell="A43" sqref="A43"/>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937</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938</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707</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990</v>
      </c>
      <c r="S19" s="26" t="s">
        <v>706</v>
      </c>
      <c r="T19" s="26" t="s">
        <v>708</v>
      </c>
      <c r="U19" s="27" t="s">
        <v>709</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ht="135" x14ac:dyDescent="0.25">
      <c r="A20" s="34" t="s">
        <v>710</v>
      </c>
      <c r="B20" s="24" t="s">
        <v>310</v>
      </c>
      <c r="C20" s="24" t="s">
        <v>945</v>
      </c>
      <c r="D20" s="24" t="s">
        <v>945</v>
      </c>
      <c r="E20" s="24" t="b">
        <v>0</v>
      </c>
      <c r="F20" s="24"/>
      <c r="G20" s="25" t="s">
        <v>597</v>
      </c>
      <c r="H20" s="25" t="s">
        <v>598</v>
      </c>
      <c r="I20" s="25" t="s">
        <v>12</v>
      </c>
      <c r="J20" s="25" t="s">
        <v>340</v>
      </c>
      <c r="K20" s="25" t="s">
        <v>373</v>
      </c>
      <c r="L20" s="25" t="s">
        <v>729</v>
      </c>
      <c r="M20" s="25"/>
      <c r="N20" s="25"/>
      <c r="O20" s="25" t="s">
        <v>730</v>
      </c>
      <c r="P20" s="25"/>
      <c r="Q20" s="24" t="s">
        <v>943</v>
      </c>
      <c r="R20" s="26" t="s">
        <v>944</v>
      </c>
      <c r="S20" s="26" t="s">
        <v>982</v>
      </c>
      <c r="T20" s="26" t="s">
        <v>981</v>
      </c>
      <c r="U20" s="27" t="s">
        <v>986</v>
      </c>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ht="105" x14ac:dyDescent="0.25">
      <c r="A21" s="34" t="s">
        <v>711</v>
      </c>
      <c r="B21" s="24" t="s">
        <v>310</v>
      </c>
      <c r="C21" s="33" t="s">
        <v>652</v>
      </c>
      <c r="D21" s="33" t="s">
        <v>652</v>
      </c>
      <c r="E21" s="24" t="b">
        <v>0</v>
      </c>
      <c r="F21" s="24"/>
      <c r="G21" s="25" t="s">
        <v>712</v>
      </c>
      <c r="H21" s="25" t="s">
        <v>616</v>
      </c>
      <c r="I21" s="25" t="s">
        <v>12</v>
      </c>
      <c r="J21" s="25" t="s">
        <v>332</v>
      </c>
      <c r="K21" s="25" t="s">
        <v>370</v>
      </c>
      <c r="L21" s="25" t="s">
        <v>731</v>
      </c>
      <c r="M21" s="25"/>
      <c r="N21" s="25"/>
      <c r="O21" s="25" t="s">
        <v>732</v>
      </c>
      <c r="P21" s="25"/>
      <c r="Q21" s="24" t="s">
        <v>946</v>
      </c>
      <c r="R21" s="26" t="s">
        <v>991</v>
      </c>
      <c r="S21" s="26" t="s">
        <v>983</v>
      </c>
      <c r="T21" s="26" t="s">
        <v>981</v>
      </c>
      <c r="U21" s="27" t="s">
        <v>987</v>
      </c>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ht="120" x14ac:dyDescent="0.25">
      <c r="A22" s="34" t="s">
        <v>713</v>
      </c>
      <c r="B22" s="24" t="s">
        <v>310</v>
      </c>
      <c r="C22" s="33" t="s">
        <v>948</v>
      </c>
      <c r="D22" s="33" t="s">
        <v>949</v>
      </c>
      <c r="E22" s="24" t="b">
        <v>0</v>
      </c>
      <c r="F22" s="24"/>
      <c r="G22" s="25" t="s">
        <v>714</v>
      </c>
      <c r="H22" s="25" t="s">
        <v>715</v>
      </c>
      <c r="I22" s="25" t="s">
        <v>12</v>
      </c>
      <c r="J22" s="25" t="s">
        <v>328</v>
      </c>
      <c r="K22" s="25" t="s">
        <v>378</v>
      </c>
      <c r="L22" s="25" t="s">
        <v>733</v>
      </c>
      <c r="M22" s="25"/>
      <c r="N22" s="25"/>
      <c r="O22" s="25" t="s">
        <v>734</v>
      </c>
      <c r="P22" s="25"/>
      <c r="Q22" s="38" t="s">
        <v>947</v>
      </c>
      <c r="R22" s="26" t="s">
        <v>950</v>
      </c>
      <c r="S22" s="26" t="s">
        <v>983</v>
      </c>
      <c r="T22" s="26" t="s">
        <v>984</v>
      </c>
      <c r="U22" s="27" t="s">
        <v>988</v>
      </c>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ht="135" x14ac:dyDescent="0.25">
      <c r="A23" s="34" t="s">
        <v>716</v>
      </c>
      <c r="B23" s="24" t="s">
        <v>310</v>
      </c>
      <c r="C23" s="33" t="s">
        <v>948</v>
      </c>
      <c r="D23" s="33" t="s">
        <v>948</v>
      </c>
      <c r="E23" s="24" t="b">
        <v>0</v>
      </c>
      <c r="F23" s="24"/>
      <c r="G23" s="25" t="s">
        <v>717</v>
      </c>
      <c r="H23" s="25" t="s">
        <v>715</v>
      </c>
      <c r="I23" s="25" t="s">
        <v>12</v>
      </c>
      <c r="J23" s="25" t="s">
        <v>334</v>
      </c>
      <c r="K23" s="25" t="s">
        <v>375</v>
      </c>
      <c r="L23" s="25" t="s">
        <v>735</v>
      </c>
      <c r="M23" s="25"/>
      <c r="N23" s="25"/>
      <c r="O23" s="25" t="s">
        <v>736</v>
      </c>
      <c r="P23" s="25"/>
      <c r="Q23" s="38" t="s">
        <v>951</v>
      </c>
      <c r="R23" s="26" t="s">
        <v>992</v>
      </c>
      <c r="S23" s="26" t="s">
        <v>983</v>
      </c>
      <c r="T23" s="26" t="s">
        <v>981</v>
      </c>
      <c r="U23" s="27" t="s">
        <v>989</v>
      </c>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ht="120" x14ac:dyDescent="0.25">
      <c r="A24" s="34" t="s">
        <v>718</v>
      </c>
      <c r="B24" s="24" t="s">
        <v>314</v>
      </c>
      <c r="C24" s="33" t="s">
        <v>955</v>
      </c>
      <c r="D24" s="33" t="s">
        <v>956</v>
      </c>
      <c r="E24" s="24" t="b">
        <v>0</v>
      </c>
      <c r="F24" s="24"/>
      <c r="G24" s="25" t="s">
        <v>719</v>
      </c>
      <c r="H24" s="25" t="s">
        <v>720</v>
      </c>
      <c r="I24" s="25" t="s">
        <v>12</v>
      </c>
      <c r="J24" s="25" t="s">
        <v>339</v>
      </c>
      <c r="K24" s="25" t="s">
        <v>438</v>
      </c>
      <c r="L24" s="25" t="s">
        <v>737</v>
      </c>
      <c r="M24" s="25" t="s">
        <v>738</v>
      </c>
      <c r="N24" s="25"/>
      <c r="O24" s="25" t="s">
        <v>939</v>
      </c>
      <c r="P24" s="39" t="s">
        <v>952</v>
      </c>
      <c r="Q24" s="38" t="s">
        <v>953</v>
      </c>
      <c r="R24" s="26" t="s">
        <v>954</v>
      </c>
      <c r="S24" s="26" t="s">
        <v>985</v>
      </c>
      <c r="T24" s="26" t="s">
        <v>981</v>
      </c>
      <c r="U24" s="27" t="s">
        <v>993</v>
      </c>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2</v>
      </c>
    </row>
    <row r="25" spans="1:25" ht="75" x14ac:dyDescent="0.25">
      <c r="A25" s="34" t="s">
        <v>721</v>
      </c>
      <c r="B25" s="24" t="s">
        <v>310</v>
      </c>
      <c r="C25" s="24" t="s">
        <v>964</v>
      </c>
      <c r="D25" s="24" t="s">
        <v>963</v>
      </c>
      <c r="E25" s="24" t="b">
        <v>0</v>
      </c>
      <c r="F25" s="24"/>
      <c r="G25" s="25" t="s">
        <v>722</v>
      </c>
      <c r="H25" s="25" t="s">
        <v>723</v>
      </c>
      <c r="I25" s="25" t="s">
        <v>12</v>
      </c>
      <c r="J25" s="25" t="s">
        <v>332</v>
      </c>
      <c r="K25" s="25" t="s">
        <v>367</v>
      </c>
      <c r="L25" s="25" t="s">
        <v>739</v>
      </c>
      <c r="M25" s="25"/>
      <c r="N25" s="25"/>
      <c r="O25" s="25" t="s">
        <v>740</v>
      </c>
      <c r="P25" s="25"/>
      <c r="Q25" s="38" t="s">
        <v>959</v>
      </c>
      <c r="R25" s="26" t="s">
        <v>957</v>
      </c>
      <c r="S25" s="26" t="s">
        <v>958</v>
      </c>
      <c r="T25" s="26" t="s">
        <v>981</v>
      </c>
      <c r="U25" s="27" t="s">
        <v>994</v>
      </c>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ht="120" x14ac:dyDescent="0.25">
      <c r="A26" s="34" t="s">
        <v>724</v>
      </c>
      <c r="B26" s="24" t="s">
        <v>310</v>
      </c>
      <c r="C26" s="24" t="s">
        <v>964</v>
      </c>
      <c r="D26" s="24" t="s">
        <v>963</v>
      </c>
      <c r="E26" s="24" t="b">
        <v>0</v>
      </c>
      <c r="F26" s="24"/>
      <c r="G26" s="25" t="s">
        <v>13</v>
      </c>
      <c r="H26" s="25" t="s">
        <v>725</v>
      </c>
      <c r="I26" s="25" t="s">
        <v>12</v>
      </c>
      <c r="J26" s="25" t="s">
        <v>342</v>
      </c>
      <c r="K26" s="25" t="s">
        <v>378</v>
      </c>
      <c r="L26" s="25" t="s">
        <v>741</v>
      </c>
      <c r="M26" s="25"/>
      <c r="N26" s="25"/>
      <c r="O26" s="25" t="s">
        <v>742</v>
      </c>
      <c r="P26" s="25"/>
      <c r="Q26" s="24" t="s">
        <v>960</v>
      </c>
      <c r="R26" s="26" t="s">
        <v>961</v>
      </c>
      <c r="S26" s="26" t="s">
        <v>962</v>
      </c>
      <c r="T26" s="26" t="s">
        <v>981</v>
      </c>
      <c r="U26" s="27" t="s">
        <v>995</v>
      </c>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ht="135" x14ac:dyDescent="0.25">
      <c r="A27" s="34" t="s">
        <v>726</v>
      </c>
      <c r="B27" s="24" t="s">
        <v>310</v>
      </c>
      <c r="C27" s="24" t="s">
        <v>955</v>
      </c>
      <c r="D27" s="24" t="s">
        <v>965</v>
      </c>
      <c r="E27" s="24" t="b">
        <v>0</v>
      </c>
      <c r="F27" s="24"/>
      <c r="G27" s="25" t="s">
        <v>727</v>
      </c>
      <c r="H27" s="25" t="s">
        <v>728</v>
      </c>
      <c r="I27" s="25" t="s">
        <v>12</v>
      </c>
      <c r="J27" s="25" t="s">
        <v>334</v>
      </c>
      <c r="K27" s="25" t="s">
        <v>377</v>
      </c>
      <c r="L27" s="25" t="s">
        <v>743</v>
      </c>
      <c r="M27" s="25"/>
      <c r="N27" s="25"/>
      <c r="O27" s="25" t="s">
        <v>744</v>
      </c>
      <c r="P27" s="39" t="s">
        <v>966</v>
      </c>
      <c r="Q27" s="38" t="s">
        <v>967</v>
      </c>
      <c r="R27" s="26" t="s">
        <v>968</v>
      </c>
      <c r="S27" s="26" t="s">
        <v>969</v>
      </c>
      <c r="T27" s="26" t="s">
        <v>981</v>
      </c>
      <c r="U27" s="27" t="s">
        <v>996</v>
      </c>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ht="165" x14ac:dyDescent="0.25">
      <c r="A28" s="34" t="s">
        <v>745</v>
      </c>
      <c r="B28" s="24" t="s">
        <v>310</v>
      </c>
      <c r="C28" s="24" t="s">
        <v>955</v>
      </c>
      <c r="D28" s="24" t="s">
        <v>949</v>
      </c>
      <c r="E28" s="24" t="b">
        <v>0</v>
      </c>
      <c r="F28" s="24"/>
      <c r="G28" s="25" t="s">
        <v>746</v>
      </c>
      <c r="H28" s="25" t="s">
        <v>747</v>
      </c>
      <c r="I28" s="25" t="s">
        <v>12</v>
      </c>
      <c r="J28" s="25" t="s">
        <v>332</v>
      </c>
      <c r="K28" s="25" t="s">
        <v>372</v>
      </c>
      <c r="L28" s="25" t="s">
        <v>754</v>
      </c>
      <c r="M28" s="25"/>
      <c r="N28" s="25"/>
      <c r="O28" s="25" t="s">
        <v>748</v>
      </c>
      <c r="P28" s="25" t="s">
        <v>749</v>
      </c>
      <c r="Q28" s="24" t="s">
        <v>750</v>
      </c>
      <c r="R28" s="26" t="s">
        <v>970</v>
      </c>
      <c r="S28" s="26" t="s">
        <v>971</v>
      </c>
      <c r="T28" s="26" t="s">
        <v>972</v>
      </c>
      <c r="U28" s="27" t="s">
        <v>997</v>
      </c>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ht="165" x14ac:dyDescent="0.25">
      <c r="A29" s="34" t="s">
        <v>751</v>
      </c>
      <c r="B29" s="24" t="s">
        <v>310</v>
      </c>
      <c r="C29" s="24" t="s">
        <v>955</v>
      </c>
      <c r="D29" s="24" t="s">
        <v>949</v>
      </c>
      <c r="E29" s="24" t="b">
        <v>0</v>
      </c>
      <c r="F29" s="24"/>
      <c r="G29" s="25" t="s">
        <v>752</v>
      </c>
      <c r="H29" s="25" t="s">
        <v>753</v>
      </c>
      <c r="I29" s="25" t="s">
        <v>12</v>
      </c>
      <c r="J29" s="25" t="s">
        <v>341</v>
      </c>
      <c r="K29" s="25" t="s">
        <v>376</v>
      </c>
      <c r="L29" s="25" t="s">
        <v>754</v>
      </c>
      <c r="M29" s="25" t="s">
        <v>755</v>
      </c>
      <c r="N29" s="25"/>
      <c r="O29" s="25" t="s">
        <v>755</v>
      </c>
      <c r="P29" s="25" t="s">
        <v>749</v>
      </c>
      <c r="Q29" s="24" t="s">
        <v>750</v>
      </c>
      <c r="R29" s="26" t="s">
        <v>970</v>
      </c>
      <c r="S29" s="26" t="s">
        <v>971</v>
      </c>
      <c r="T29" s="26" t="s">
        <v>972</v>
      </c>
      <c r="U29" s="27" t="s">
        <v>997</v>
      </c>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ht="75" x14ac:dyDescent="0.25">
      <c r="A30" s="34" t="s">
        <v>756</v>
      </c>
      <c r="B30" s="24" t="s">
        <v>310</v>
      </c>
      <c r="C30" s="24" t="s">
        <v>964</v>
      </c>
      <c r="D30" s="24" t="s">
        <v>964</v>
      </c>
      <c r="E30" s="24" t="b">
        <v>0</v>
      </c>
      <c r="F30" s="24"/>
      <c r="G30" s="25" t="s">
        <v>757</v>
      </c>
      <c r="H30" s="25" t="s">
        <v>758</v>
      </c>
      <c r="I30" s="25" t="s">
        <v>12</v>
      </c>
      <c r="J30" s="25" t="s">
        <v>334</v>
      </c>
      <c r="K30" s="25" t="s">
        <v>379</v>
      </c>
      <c r="L30" s="25" t="s">
        <v>759</v>
      </c>
      <c r="M30" s="25"/>
      <c r="N30" s="25"/>
      <c r="O30" s="25" t="s">
        <v>760</v>
      </c>
      <c r="P30" s="25" t="s">
        <v>761</v>
      </c>
      <c r="Q30" s="38" t="s">
        <v>762</v>
      </c>
      <c r="R30" s="26" t="s">
        <v>998</v>
      </c>
      <c r="S30" s="26" t="s">
        <v>288</v>
      </c>
      <c r="T30" s="26" t="s">
        <v>981</v>
      </c>
      <c r="U30" s="27" t="s">
        <v>999</v>
      </c>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ht="75" x14ac:dyDescent="0.25">
      <c r="A31" s="34" t="s">
        <v>763</v>
      </c>
      <c r="B31" s="24" t="s">
        <v>310</v>
      </c>
      <c r="C31" s="24" t="s">
        <v>974</v>
      </c>
      <c r="D31" s="24" t="s">
        <v>974</v>
      </c>
      <c r="E31" s="24" t="b">
        <v>0</v>
      </c>
      <c r="F31" s="24"/>
      <c r="G31" s="25" t="s">
        <v>766</v>
      </c>
      <c r="H31" s="25" t="s">
        <v>715</v>
      </c>
      <c r="I31" s="25" t="s">
        <v>12</v>
      </c>
      <c r="J31" s="25" t="s">
        <v>328</v>
      </c>
      <c r="K31" s="25" t="s">
        <v>376</v>
      </c>
      <c r="L31" s="25" t="s">
        <v>765</v>
      </c>
      <c r="M31" s="25"/>
      <c r="N31" s="25"/>
      <c r="O31" s="25"/>
      <c r="P31" s="25"/>
      <c r="Q31" s="38" t="s">
        <v>973</v>
      </c>
      <c r="R31" s="26" t="s">
        <v>54</v>
      </c>
      <c r="S31" s="26" t="s">
        <v>1005</v>
      </c>
      <c r="T31" s="26" t="s">
        <v>1000</v>
      </c>
      <c r="U31" s="27" t="s">
        <v>1001</v>
      </c>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ht="75" x14ac:dyDescent="0.25">
      <c r="A32" s="34" t="s">
        <v>764</v>
      </c>
      <c r="B32" s="24" t="s">
        <v>310</v>
      </c>
      <c r="C32" s="24" t="s">
        <v>974</v>
      </c>
      <c r="D32" s="24" t="s">
        <v>974</v>
      </c>
      <c r="E32" s="24" t="b">
        <v>0</v>
      </c>
      <c r="F32" s="24"/>
      <c r="G32" s="25" t="s">
        <v>767</v>
      </c>
      <c r="H32" s="25" t="s">
        <v>768</v>
      </c>
      <c r="I32" s="25" t="s">
        <v>12</v>
      </c>
      <c r="J32" s="25" t="s">
        <v>327</v>
      </c>
      <c r="K32" s="25" t="s">
        <v>346</v>
      </c>
      <c r="L32" s="25" t="s">
        <v>769</v>
      </c>
      <c r="M32" s="25"/>
      <c r="N32" s="25"/>
      <c r="O32" s="25"/>
      <c r="P32" s="25"/>
      <c r="Q32" s="38" t="s">
        <v>973</v>
      </c>
      <c r="R32" s="26" t="s">
        <v>54</v>
      </c>
      <c r="S32" s="26" t="s">
        <v>1005</v>
      </c>
      <c r="T32" s="26" t="s">
        <v>1000</v>
      </c>
      <c r="U32" s="27" t="s">
        <v>1001</v>
      </c>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ht="75" x14ac:dyDescent="0.25">
      <c r="A33" s="34" t="s">
        <v>770</v>
      </c>
      <c r="B33" s="24" t="s">
        <v>310</v>
      </c>
      <c r="C33" s="24" t="s">
        <v>700</v>
      </c>
      <c r="D33" s="24" t="s">
        <v>975</v>
      </c>
      <c r="E33" s="24" t="b">
        <v>0</v>
      </c>
      <c r="F33" s="24"/>
      <c r="G33" s="25" t="s">
        <v>771</v>
      </c>
      <c r="H33" s="25" t="s">
        <v>747</v>
      </c>
      <c r="I33" s="25" t="s">
        <v>12</v>
      </c>
      <c r="J33" s="25" t="s">
        <v>332</v>
      </c>
      <c r="K33" s="25" t="s">
        <v>374</v>
      </c>
      <c r="L33" s="25" t="s">
        <v>772</v>
      </c>
      <c r="M33" s="25"/>
      <c r="N33" s="25"/>
      <c r="O33" s="25" t="s">
        <v>773</v>
      </c>
      <c r="P33" s="25"/>
      <c r="Q33" s="38" t="s">
        <v>976</v>
      </c>
      <c r="R33" s="26" t="s">
        <v>1002</v>
      </c>
      <c r="S33" s="26"/>
      <c r="T33" s="26" t="s">
        <v>1003</v>
      </c>
      <c r="U33" s="27" t="s">
        <v>1004</v>
      </c>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ht="60" x14ac:dyDescent="0.25">
      <c r="A34" s="34" t="s">
        <v>774</v>
      </c>
      <c r="B34" s="24" t="s">
        <v>310</v>
      </c>
      <c r="C34" s="24" t="s">
        <v>945</v>
      </c>
      <c r="D34" s="24" t="s">
        <v>945</v>
      </c>
      <c r="E34" s="24" t="b">
        <v>0</v>
      </c>
      <c r="F34" s="24"/>
      <c r="G34" s="25" t="s">
        <v>775</v>
      </c>
      <c r="H34" s="25" t="s">
        <v>728</v>
      </c>
      <c r="I34" s="25" t="s">
        <v>12</v>
      </c>
      <c r="J34" s="25" t="s">
        <v>334</v>
      </c>
      <c r="K34" s="25" t="s">
        <v>378</v>
      </c>
      <c r="L34" s="25" t="s">
        <v>776</v>
      </c>
      <c r="M34" s="25"/>
      <c r="N34" s="25"/>
      <c r="O34" s="25" t="s">
        <v>777</v>
      </c>
      <c r="P34" s="25" t="s">
        <v>778</v>
      </c>
      <c r="Q34" s="38" t="s">
        <v>977</v>
      </c>
      <c r="R34" s="26" t="s">
        <v>1007</v>
      </c>
      <c r="S34" s="26" t="s">
        <v>1012</v>
      </c>
      <c r="T34" s="26" t="s">
        <v>1006</v>
      </c>
      <c r="U34" s="27" t="s">
        <v>1008</v>
      </c>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ht="60" x14ac:dyDescent="0.25">
      <c r="A35" s="34" t="s">
        <v>779</v>
      </c>
      <c r="B35" s="24" t="s">
        <v>314</v>
      </c>
      <c r="C35" s="24" t="s">
        <v>979</v>
      </c>
      <c r="D35" s="24" t="s">
        <v>980</v>
      </c>
      <c r="E35" s="24" t="b">
        <v>0</v>
      </c>
      <c r="F35" s="24"/>
      <c r="G35" s="25" t="s">
        <v>780</v>
      </c>
      <c r="H35" s="25" t="s">
        <v>781</v>
      </c>
      <c r="I35" s="25" t="s">
        <v>12</v>
      </c>
      <c r="J35" s="25" t="s">
        <v>328</v>
      </c>
      <c r="K35" s="25" t="s">
        <v>370</v>
      </c>
      <c r="L35" s="25" t="s">
        <v>776</v>
      </c>
      <c r="M35" s="25"/>
      <c r="N35" s="25"/>
      <c r="O35" s="25" t="s">
        <v>777</v>
      </c>
      <c r="P35" s="25"/>
      <c r="Q35" s="24" t="s">
        <v>978</v>
      </c>
      <c r="R35" s="26" t="s">
        <v>1013</v>
      </c>
      <c r="S35" s="26" t="s">
        <v>1011</v>
      </c>
      <c r="T35" s="26" t="s">
        <v>1010</v>
      </c>
      <c r="U35" s="27" t="s">
        <v>1014</v>
      </c>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ht="45" x14ac:dyDescent="0.25">
      <c r="A36" s="34" t="s">
        <v>782</v>
      </c>
      <c r="B36" s="24" t="s">
        <v>310</v>
      </c>
      <c r="C36" s="24" t="s">
        <v>533</v>
      </c>
      <c r="D36" s="24" t="s">
        <v>533</v>
      </c>
      <c r="E36" s="24" t="b">
        <v>0</v>
      </c>
      <c r="F36" s="24"/>
      <c r="G36" s="25" t="s">
        <v>783</v>
      </c>
      <c r="H36" s="25" t="s">
        <v>784</v>
      </c>
      <c r="I36" s="25" t="s">
        <v>12</v>
      </c>
      <c r="J36" s="25" t="s">
        <v>328</v>
      </c>
      <c r="K36" s="25" t="s">
        <v>378</v>
      </c>
      <c r="L36" s="25" t="s">
        <v>785</v>
      </c>
      <c r="M36" s="25"/>
      <c r="N36" s="25"/>
      <c r="O36" s="25" t="s">
        <v>786</v>
      </c>
      <c r="P36" s="25"/>
      <c r="Q36" s="24"/>
      <c r="R36" s="26" t="s">
        <v>75</v>
      </c>
      <c r="S36" s="26" t="s">
        <v>1017</v>
      </c>
      <c r="T36" s="26" t="s">
        <v>1025</v>
      </c>
      <c r="U36" s="27" t="s">
        <v>1030</v>
      </c>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ht="75" x14ac:dyDescent="0.25">
      <c r="A37" s="34" t="s">
        <v>787</v>
      </c>
      <c r="B37" s="24" t="s">
        <v>314</v>
      </c>
      <c r="C37" s="24" t="s">
        <v>553</v>
      </c>
      <c r="D37" s="24" t="s">
        <v>553</v>
      </c>
      <c r="E37" s="24" t="b">
        <v>0</v>
      </c>
      <c r="F37" s="24"/>
      <c r="G37" s="25" t="s">
        <v>788</v>
      </c>
      <c r="H37" s="25" t="s">
        <v>571</v>
      </c>
      <c r="I37" s="25" t="s">
        <v>12</v>
      </c>
      <c r="J37" s="25" t="s">
        <v>336</v>
      </c>
      <c r="K37" s="25" t="s">
        <v>390</v>
      </c>
      <c r="L37" s="25" t="s">
        <v>789</v>
      </c>
      <c r="M37" s="25"/>
      <c r="N37" s="25"/>
      <c r="O37" s="25" t="s">
        <v>790</v>
      </c>
      <c r="P37" s="25"/>
      <c r="Q37" s="24" t="s">
        <v>795</v>
      </c>
      <c r="R37" s="26" t="s">
        <v>75</v>
      </c>
      <c r="S37" s="26" t="s">
        <v>1017</v>
      </c>
      <c r="T37" s="26" t="s">
        <v>1009</v>
      </c>
      <c r="U37" s="27" t="s">
        <v>1031</v>
      </c>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ht="45" x14ac:dyDescent="0.25">
      <c r="A38" s="34" t="s">
        <v>791</v>
      </c>
      <c r="B38" s="24" t="s">
        <v>310</v>
      </c>
      <c r="C38" s="24" t="s">
        <v>553</v>
      </c>
      <c r="D38" s="24" t="s">
        <v>553</v>
      </c>
      <c r="E38" s="24" t="b">
        <v>0</v>
      </c>
      <c r="F38" s="24"/>
      <c r="G38" s="25" t="s">
        <v>792</v>
      </c>
      <c r="H38" s="25" t="s">
        <v>642</v>
      </c>
      <c r="I38" s="25" t="s">
        <v>12</v>
      </c>
      <c r="J38" s="25" t="s">
        <v>334</v>
      </c>
      <c r="K38" s="25" t="s">
        <v>367</v>
      </c>
      <c r="L38" s="25" t="s">
        <v>793</v>
      </c>
      <c r="M38" s="25"/>
      <c r="N38" s="25"/>
      <c r="O38" s="25" t="s">
        <v>794</v>
      </c>
      <c r="P38" s="25"/>
      <c r="R38" s="26" t="s">
        <v>1016</v>
      </c>
      <c r="S38" s="26" t="s">
        <v>1017</v>
      </c>
      <c r="T38" s="26" t="s">
        <v>1026</v>
      </c>
      <c r="U38" s="27" t="s">
        <v>1032</v>
      </c>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ht="60" x14ac:dyDescent="0.25">
      <c r="A39" s="34" t="s">
        <v>796</v>
      </c>
      <c r="B39" s="24" t="s">
        <v>311</v>
      </c>
      <c r="C39" s="24" t="s">
        <v>556</v>
      </c>
      <c r="D39" s="24" t="s">
        <v>556</v>
      </c>
      <c r="E39" s="24" t="b">
        <v>0</v>
      </c>
      <c r="F39" s="24"/>
      <c r="G39" s="25" t="s">
        <v>534</v>
      </c>
      <c r="H39" s="25" t="s">
        <v>797</v>
      </c>
      <c r="I39" s="25" t="s">
        <v>12</v>
      </c>
      <c r="J39" s="25" t="s">
        <v>344</v>
      </c>
      <c r="K39" s="25" t="s">
        <v>516</v>
      </c>
      <c r="L39" s="25" t="s">
        <v>798</v>
      </c>
      <c r="M39" s="25"/>
      <c r="N39" s="25"/>
      <c r="O39" s="25" t="s">
        <v>799</v>
      </c>
      <c r="P39" s="25"/>
      <c r="Q39" s="24"/>
      <c r="R39" s="26" t="s">
        <v>70</v>
      </c>
      <c r="S39" s="26" t="s">
        <v>1018</v>
      </c>
      <c r="T39" s="26" t="s">
        <v>1027</v>
      </c>
      <c r="U39" s="27" t="s">
        <v>1033</v>
      </c>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ht="60" x14ac:dyDescent="0.25">
      <c r="A40" s="34" t="s">
        <v>800</v>
      </c>
      <c r="B40" s="24" t="s">
        <v>310</v>
      </c>
      <c r="C40" s="24" t="s">
        <v>575</v>
      </c>
      <c r="D40" s="24" t="s">
        <v>575</v>
      </c>
      <c r="E40" s="24" t="b">
        <v>0</v>
      </c>
      <c r="F40" s="24"/>
      <c r="G40" s="37" t="s">
        <v>801</v>
      </c>
      <c r="H40" s="25" t="s">
        <v>758</v>
      </c>
      <c r="I40" s="25" t="s">
        <v>12</v>
      </c>
      <c r="J40" s="25" t="s">
        <v>334</v>
      </c>
      <c r="K40" s="25" t="s">
        <v>367</v>
      </c>
      <c r="L40" s="25" t="s">
        <v>802</v>
      </c>
      <c r="M40" s="25"/>
      <c r="N40" s="25"/>
      <c r="O40" s="25" t="s">
        <v>803</v>
      </c>
      <c r="P40" s="25"/>
      <c r="Q40" s="24" t="s">
        <v>804</v>
      </c>
      <c r="R40" s="26" t="s">
        <v>70</v>
      </c>
      <c r="S40" s="26" t="s">
        <v>1018</v>
      </c>
      <c r="T40" s="26" t="s">
        <v>1028</v>
      </c>
      <c r="U40" s="27" t="s">
        <v>1034</v>
      </c>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ht="45" x14ac:dyDescent="0.25">
      <c r="A41" s="34" t="s">
        <v>805</v>
      </c>
      <c r="B41" s="24" t="s">
        <v>310</v>
      </c>
      <c r="C41" s="24" t="s">
        <v>584</v>
      </c>
      <c r="D41" s="24" t="s">
        <v>585</v>
      </c>
      <c r="E41" s="24" t="b">
        <v>0</v>
      </c>
      <c r="F41" s="24"/>
      <c r="G41" s="25" t="s">
        <v>806</v>
      </c>
      <c r="H41" s="25" t="s">
        <v>807</v>
      </c>
      <c r="I41" s="25" t="s">
        <v>12</v>
      </c>
      <c r="J41" s="25" t="s">
        <v>334</v>
      </c>
      <c r="K41" s="25" t="s">
        <v>378</v>
      </c>
      <c r="L41" s="25" t="s">
        <v>808</v>
      </c>
      <c r="M41" s="25"/>
      <c r="N41" s="25"/>
      <c r="O41" s="25" t="s">
        <v>809</v>
      </c>
      <c r="P41" s="25"/>
      <c r="Q41" s="24"/>
      <c r="R41" s="26" t="s">
        <v>45</v>
      </c>
      <c r="S41" s="26" t="s">
        <v>1019</v>
      </c>
      <c r="T41" s="26" t="s">
        <v>1028</v>
      </c>
      <c r="U41" s="27" t="s">
        <v>1035</v>
      </c>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s="47" customFormat="1" ht="75" x14ac:dyDescent="0.25">
      <c r="A42" s="40" t="s">
        <v>810</v>
      </c>
      <c r="B42" s="41" t="s">
        <v>311</v>
      </c>
      <c r="C42" s="24" t="s">
        <v>584</v>
      </c>
      <c r="D42" s="24" t="s">
        <v>584</v>
      </c>
      <c r="E42" s="41" t="b">
        <v>0</v>
      </c>
      <c r="F42" s="41"/>
      <c r="G42" s="42" t="s">
        <v>811</v>
      </c>
      <c r="H42" s="42" t="s">
        <v>812</v>
      </c>
      <c r="I42" s="42" t="s">
        <v>12</v>
      </c>
      <c r="J42" s="42" t="s">
        <v>327</v>
      </c>
      <c r="K42" s="42" t="s">
        <v>354</v>
      </c>
      <c r="L42" s="42" t="s">
        <v>813</v>
      </c>
      <c r="M42" s="42"/>
      <c r="N42" s="42"/>
      <c r="O42" s="42" t="s">
        <v>809</v>
      </c>
      <c r="P42" s="42" t="s">
        <v>814</v>
      </c>
      <c r="Q42" s="41" t="s">
        <v>815</v>
      </c>
      <c r="R42" s="43" t="s">
        <v>66</v>
      </c>
      <c r="S42" s="43" t="s">
        <v>1022</v>
      </c>
      <c r="T42" s="43" t="s">
        <v>1029</v>
      </c>
      <c r="U42" s="44" t="s">
        <v>1038</v>
      </c>
      <c r="V42" s="45">
        <f>IF(I42 &lt;&gt; "", VLOOKUP(I42, City!$A$1:$B$2, 2, FALSE), "" )</f>
        <v>79</v>
      </c>
      <c r="W42" s="45">
        <f>IF(J42 &lt;&gt; "", VLOOKUP(J42, District!$A$1:$B$25, 2, FALSE), "")</f>
        <v>760</v>
      </c>
      <c r="X42" s="46">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45">
        <f>IF(B42 &lt;&gt; "", VLOOKUP(B42, HospitalType!$A$2:$B$9, 2, FALSE), "")</f>
        <v>3</v>
      </c>
    </row>
    <row r="43" spans="1:25" s="47" customFormat="1" ht="75" x14ac:dyDescent="0.25">
      <c r="A43" s="40" t="s">
        <v>816</v>
      </c>
      <c r="B43" s="41" t="s">
        <v>310</v>
      </c>
      <c r="C43" s="24" t="s">
        <v>603</v>
      </c>
      <c r="D43" s="24" t="s">
        <v>603</v>
      </c>
      <c r="E43" s="41" t="b">
        <v>0</v>
      </c>
      <c r="F43" s="41"/>
      <c r="G43" s="42" t="s">
        <v>817</v>
      </c>
      <c r="H43" s="42" t="s">
        <v>818</v>
      </c>
      <c r="I43" s="42" t="s">
        <v>12</v>
      </c>
      <c r="J43" s="42" t="s">
        <v>327</v>
      </c>
      <c r="K43" s="42" t="s">
        <v>354</v>
      </c>
      <c r="L43" s="42" t="s">
        <v>819</v>
      </c>
      <c r="M43" s="42"/>
      <c r="N43" s="42"/>
      <c r="O43" s="42" t="s">
        <v>820</v>
      </c>
      <c r="P43" s="42"/>
      <c r="Q43" s="41"/>
      <c r="R43" s="43" t="s">
        <v>66</v>
      </c>
      <c r="S43" s="43" t="s">
        <v>1021</v>
      </c>
      <c r="T43" s="43" t="s">
        <v>1029</v>
      </c>
      <c r="U43" s="44" t="s">
        <v>1160</v>
      </c>
      <c r="V43" s="45">
        <f>IF(I43 &lt;&gt; "", VLOOKUP(I43, City!$A$1:$B$2, 2, FALSE), "" )</f>
        <v>79</v>
      </c>
      <c r="W43" s="45">
        <f>IF(J43 &lt;&gt; "", VLOOKUP(J43, District!$A$1:$B$25, 2, FALSE), "")</f>
        <v>760</v>
      </c>
      <c r="X43" s="46">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45">
        <f>IF(B43 &lt;&gt; "", VLOOKUP(B43, HospitalType!$A$2:$B$9, 2, FALSE), "")</f>
        <v>1</v>
      </c>
    </row>
    <row r="44" spans="1:25" s="47" customFormat="1" ht="60" x14ac:dyDescent="0.25">
      <c r="A44" s="40" t="s">
        <v>821</v>
      </c>
      <c r="B44" s="41" t="s">
        <v>310</v>
      </c>
      <c r="C44" s="33" t="s">
        <v>613</v>
      </c>
      <c r="D44" s="33" t="s">
        <v>614</v>
      </c>
      <c r="E44" s="41" t="b">
        <v>0</v>
      </c>
      <c r="F44" s="41"/>
      <c r="G44" s="42" t="s">
        <v>822</v>
      </c>
      <c r="H44" s="42" t="s">
        <v>728</v>
      </c>
      <c r="I44" s="42" t="s">
        <v>12</v>
      </c>
      <c r="J44" s="42" t="s">
        <v>334</v>
      </c>
      <c r="K44" s="42" t="s">
        <v>378</v>
      </c>
      <c r="L44" s="42" t="s">
        <v>823</v>
      </c>
      <c r="M44" s="42"/>
      <c r="N44" s="42"/>
      <c r="O44" s="42" t="s">
        <v>824</v>
      </c>
      <c r="P44" s="42"/>
      <c r="Q44" s="41"/>
      <c r="R44" s="43" t="s">
        <v>66</v>
      </c>
      <c r="S44" s="43" t="s">
        <v>269</v>
      </c>
      <c r="T44" s="43" t="s">
        <v>1029</v>
      </c>
      <c r="U44" s="44" t="s">
        <v>1037</v>
      </c>
      <c r="V44" s="45">
        <f>IF(I44 &lt;&gt; "", VLOOKUP(I44, City!$A$1:$B$2, 2, FALSE), "" )</f>
        <v>79</v>
      </c>
      <c r="W44" s="45">
        <f>IF(J44 &lt;&gt; "", VLOOKUP(J44, District!$A$1:$B$25, 2, FALSE), "")</f>
        <v>774</v>
      </c>
      <c r="X44" s="46"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45">
        <f>IF(B44 &lt;&gt; "", VLOOKUP(B44, HospitalType!$A$2:$B$9, 2, FALSE), "")</f>
        <v>1</v>
      </c>
    </row>
    <row r="45" spans="1:25" s="47" customFormat="1" ht="75" x14ac:dyDescent="0.25">
      <c r="A45" s="40" t="s">
        <v>831</v>
      </c>
      <c r="B45" s="41" t="s">
        <v>311</v>
      </c>
      <c r="C45" s="33" t="s">
        <v>613</v>
      </c>
      <c r="D45" s="33" t="s">
        <v>614</v>
      </c>
      <c r="E45" s="41" t="b">
        <v>0</v>
      </c>
      <c r="F45" s="41"/>
      <c r="G45" s="42" t="s">
        <v>825</v>
      </c>
      <c r="H45" s="42" t="s">
        <v>826</v>
      </c>
      <c r="I45" s="42" t="s">
        <v>12</v>
      </c>
      <c r="J45" s="42" t="s">
        <v>327</v>
      </c>
      <c r="K45" s="42" t="s">
        <v>347</v>
      </c>
      <c r="L45" s="42" t="s">
        <v>827</v>
      </c>
      <c r="M45" s="42"/>
      <c r="N45" s="42"/>
      <c r="O45" s="42" t="s">
        <v>828</v>
      </c>
      <c r="P45" s="42" t="s">
        <v>830</v>
      </c>
      <c r="Q45" s="41" t="s">
        <v>829</v>
      </c>
      <c r="R45" s="43" t="s">
        <v>66</v>
      </c>
      <c r="S45" s="43" t="s">
        <v>1020</v>
      </c>
      <c r="T45" s="43" t="s">
        <v>1029</v>
      </c>
      <c r="U45" s="44" t="s">
        <v>1036</v>
      </c>
      <c r="V45" s="45">
        <f>IF(I45 &lt;&gt; "", VLOOKUP(I45, City!$A$1:$B$2, 2, FALSE), "" )</f>
        <v>79</v>
      </c>
      <c r="W45" s="45">
        <f>IF(J45 &lt;&gt; "", VLOOKUP(J45, District!$A$1:$B$25, 2, FALSE), "")</f>
        <v>760</v>
      </c>
      <c r="X45" s="46">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45">
        <f>IF(B45 &lt;&gt; "", VLOOKUP(B45, HospitalType!$A$2:$B$9, 2, FALSE), "")</f>
        <v>3</v>
      </c>
    </row>
    <row r="46" spans="1:25" ht="45" x14ac:dyDescent="0.25">
      <c r="A46" s="34" t="s">
        <v>832</v>
      </c>
      <c r="B46" s="24" t="s">
        <v>310</v>
      </c>
      <c r="C46" s="24" t="s">
        <v>631</v>
      </c>
      <c r="D46" s="24" t="s">
        <v>632</v>
      </c>
      <c r="E46" s="24" t="b">
        <v>0</v>
      </c>
      <c r="F46" s="24"/>
      <c r="G46" s="25" t="s">
        <v>15</v>
      </c>
      <c r="H46" s="25" t="s">
        <v>598</v>
      </c>
      <c r="I46" s="25" t="s">
        <v>12</v>
      </c>
      <c r="J46" s="25" t="s">
        <v>340</v>
      </c>
      <c r="K46" s="25" t="s">
        <v>373</v>
      </c>
      <c r="L46" s="25" t="s">
        <v>833</v>
      </c>
      <c r="M46" s="25"/>
      <c r="N46" s="25"/>
      <c r="O46" s="25" t="s">
        <v>834</v>
      </c>
      <c r="P46" s="25" t="s">
        <v>835</v>
      </c>
      <c r="Q46" s="24"/>
      <c r="R46" s="26" t="s">
        <v>1015</v>
      </c>
      <c r="S46" s="26" t="s">
        <v>1023</v>
      </c>
      <c r="T46" s="26" t="s">
        <v>1028</v>
      </c>
      <c r="U46" s="27" t="s">
        <v>1039</v>
      </c>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ht="45" x14ac:dyDescent="0.25">
      <c r="A47" s="34" t="s">
        <v>836</v>
      </c>
      <c r="B47" s="24" t="s">
        <v>310</v>
      </c>
      <c r="C47" s="24" t="s">
        <v>640</v>
      </c>
      <c r="D47" s="24" t="s">
        <v>640</v>
      </c>
      <c r="E47" s="24" t="b">
        <v>0</v>
      </c>
      <c r="F47" s="24"/>
      <c r="G47" s="25" t="s">
        <v>837</v>
      </c>
      <c r="H47" s="25" t="s">
        <v>838</v>
      </c>
      <c r="I47" s="25" t="s">
        <v>12</v>
      </c>
      <c r="J47" s="25" t="s">
        <v>332</v>
      </c>
      <c r="K47" s="25" t="s">
        <v>373</v>
      </c>
      <c r="L47" s="25" t="s">
        <v>839</v>
      </c>
      <c r="M47" s="25"/>
      <c r="N47" s="25"/>
      <c r="O47" s="25"/>
      <c r="P47" s="25"/>
      <c r="Q47" s="24"/>
      <c r="R47" s="26" t="s">
        <v>82</v>
      </c>
      <c r="S47" s="26" t="s">
        <v>1024</v>
      </c>
      <c r="T47" s="26" t="s">
        <v>1028</v>
      </c>
      <c r="U47" s="27" t="s">
        <v>1040</v>
      </c>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ht="45" x14ac:dyDescent="0.25">
      <c r="A48" s="34" t="s">
        <v>840</v>
      </c>
      <c r="B48" s="24" t="s">
        <v>310</v>
      </c>
      <c r="C48" s="24" t="s">
        <v>653</v>
      </c>
      <c r="D48" s="24" t="s">
        <v>653</v>
      </c>
      <c r="E48" s="24" t="b">
        <v>0</v>
      </c>
      <c r="F48" s="24"/>
      <c r="G48" s="25" t="s">
        <v>14</v>
      </c>
      <c r="H48" s="25" t="s">
        <v>841</v>
      </c>
      <c r="I48" s="25" t="s">
        <v>12</v>
      </c>
      <c r="J48" s="25" t="s">
        <v>332</v>
      </c>
      <c r="K48" s="25" t="s">
        <v>372</v>
      </c>
      <c r="L48" s="25" t="s">
        <v>842</v>
      </c>
      <c r="M48" s="25"/>
      <c r="N48" s="25"/>
      <c r="O48" s="25" t="s">
        <v>843</v>
      </c>
      <c r="P48" s="25"/>
      <c r="Q48" s="24"/>
      <c r="R48" s="26" t="s">
        <v>39</v>
      </c>
      <c r="S48" s="26" t="s">
        <v>1024</v>
      </c>
      <c r="T48" s="26" t="s">
        <v>1028</v>
      </c>
      <c r="U48" s="27" t="s">
        <v>1041</v>
      </c>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844</v>
      </c>
      <c r="B49" s="24" t="s">
        <v>316</v>
      </c>
      <c r="C49" s="24" t="s">
        <v>664</v>
      </c>
      <c r="D49" s="24" t="s">
        <v>664</v>
      </c>
      <c r="E49" s="24" t="b">
        <v>0</v>
      </c>
      <c r="F49" s="24"/>
      <c r="G49" s="25" t="s">
        <v>845</v>
      </c>
      <c r="H49" s="25" t="s">
        <v>846</v>
      </c>
      <c r="I49" s="25" t="s">
        <v>12</v>
      </c>
      <c r="J49" s="25" t="s">
        <v>327</v>
      </c>
      <c r="K49" s="25" t="s">
        <v>347</v>
      </c>
      <c r="L49" s="25" t="s">
        <v>847</v>
      </c>
      <c r="M49" s="25"/>
      <c r="N49" s="25"/>
      <c r="O49" s="25"/>
      <c r="P49" s="25"/>
      <c r="Q49" s="24" t="s">
        <v>848</v>
      </c>
      <c r="R49" s="26" t="s">
        <v>53</v>
      </c>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s="47" customFormat="1" ht="45" x14ac:dyDescent="0.25">
      <c r="A50" s="40" t="s">
        <v>849</v>
      </c>
      <c r="B50" s="41" t="s">
        <v>310</v>
      </c>
      <c r="C50" s="24" t="s">
        <v>553</v>
      </c>
      <c r="D50" s="24" t="s">
        <v>553</v>
      </c>
      <c r="E50" s="41" t="b">
        <v>0</v>
      </c>
      <c r="F50" s="41"/>
      <c r="G50" s="42" t="s">
        <v>850</v>
      </c>
      <c r="H50" s="42" t="s">
        <v>642</v>
      </c>
      <c r="I50" s="42" t="s">
        <v>12</v>
      </c>
      <c r="J50" s="42" t="s">
        <v>327</v>
      </c>
      <c r="K50" s="42" t="s">
        <v>350</v>
      </c>
      <c r="L50" s="42" t="s">
        <v>851</v>
      </c>
      <c r="M50" s="42"/>
      <c r="N50" s="42"/>
      <c r="O50" s="42" t="s">
        <v>852</v>
      </c>
      <c r="P50" s="42" t="s">
        <v>853</v>
      </c>
      <c r="Q50" s="41" t="s">
        <v>854</v>
      </c>
      <c r="R50" s="43" t="s">
        <v>53</v>
      </c>
      <c r="S50" s="43"/>
      <c r="T50" s="43"/>
      <c r="U50" s="44" t="s">
        <v>1046</v>
      </c>
      <c r="V50" s="45">
        <f>IF(I50 &lt;&gt; "", VLOOKUP(I50, City!$A$1:$B$2, 2, FALSE), "" )</f>
        <v>79</v>
      </c>
      <c r="W50" s="45">
        <f>IF(J50 &lt;&gt; "", VLOOKUP(J50, District!$A$1:$B$25, 2, FALSE), "")</f>
        <v>760</v>
      </c>
      <c r="X50" s="46">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45">
        <f>IF(B50 &lt;&gt; "", VLOOKUP(B50, HospitalType!$A$2:$B$9, 2, FALSE), "")</f>
        <v>1</v>
      </c>
    </row>
    <row r="51" spans="1:25" s="47" customFormat="1" ht="30" x14ac:dyDescent="0.25">
      <c r="A51" s="40" t="s">
        <v>855</v>
      </c>
      <c r="B51" s="41" t="s">
        <v>310</v>
      </c>
      <c r="C51" s="33" t="s">
        <v>652</v>
      </c>
      <c r="D51" s="33" t="s">
        <v>652</v>
      </c>
      <c r="E51" s="41" t="b">
        <v>0</v>
      </c>
      <c r="F51" s="41"/>
      <c r="G51" s="42" t="s">
        <v>856</v>
      </c>
      <c r="H51" s="42" t="s">
        <v>702</v>
      </c>
      <c r="I51" s="42" t="s">
        <v>12</v>
      </c>
      <c r="J51" s="42" t="s">
        <v>334</v>
      </c>
      <c r="K51" s="42" t="s">
        <v>377</v>
      </c>
      <c r="L51" s="42" t="s">
        <v>857</v>
      </c>
      <c r="M51" s="42" t="s">
        <v>858</v>
      </c>
      <c r="N51" s="42"/>
      <c r="O51" s="45" t="s">
        <v>941</v>
      </c>
      <c r="P51" s="42"/>
      <c r="Q51" s="41" t="s">
        <v>859</v>
      </c>
      <c r="R51" s="43" t="s">
        <v>53</v>
      </c>
      <c r="S51" s="43"/>
      <c r="T51" s="43"/>
      <c r="U51" s="44"/>
      <c r="V51" s="45">
        <f>IF(I51 &lt;&gt; "", VLOOKUP(I51, City!$A$1:$B$2, 2, FALSE), "" )</f>
        <v>79</v>
      </c>
      <c r="W51" s="45">
        <f>IF(J51 &lt;&gt; "", VLOOKUP(J51, District!$A$1:$B$25, 2, FALSE), "")</f>
        <v>774</v>
      </c>
      <c r="X51" s="46"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45">
        <f>IF(B51 &lt;&gt; "", VLOOKUP(B51, HospitalType!$A$2:$B$9, 2, FALSE), "")</f>
        <v>1</v>
      </c>
    </row>
    <row r="52" spans="1:25" s="47" customFormat="1" x14ac:dyDescent="0.25">
      <c r="A52" s="40" t="s">
        <v>860</v>
      </c>
      <c r="B52" s="41" t="s">
        <v>316</v>
      </c>
      <c r="C52" s="33" t="s">
        <v>691</v>
      </c>
      <c r="D52" s="33" t="s">
        <v>691</v>
      </c>
      <c r="E52" s="41" t="b">
        <v>0</v>
      </c>
      <c r="F52" s="41"/>
      <c r="G52" s="42" t="s">
        <v>861</v>
      </c>
      <c r="H52" s="42" t="s">
        <v>862</v>
      </c>
      <c r="I52" s="42" t="s">
        <v>12</v>
      </c>
      <c r="J52" s="42" t="s">
        <v>327</v>
      </c>
      <c r="K52" s="42" t="s">
        <v>346</v>
      </c>
      <c r="L52" s="42" t="s">
        <v>863</v>
      </c>
      <c r="M52" s="42"/>
      <c r="N52" s="42"/>
      <c r="O52" s="42" t="s">
        <v>864</v>
      </c>
      <c r="P52" s="42" t="s">
        <v>865</v>
      </c>
      <c r="Q52" s="41" t="s">
        <v>866</v>
      </c>
      <c r="R52" s="43" t="s">
        <v>53</v>
      </c>
      <c r="S52" s="43"/>
      <c r="T52" s="43"/>
      <c r="U52" s="44"/>
      <c r="V52" s="45">
        <f>IF(I52 &lt;&gt; "", VLOOKUP(I52, City!$A$1:$B$2, 2, FALSE), "" )</f>
        <v>79</v>
      </c>
      <c r="W52" s="45">
        <f>IF(J52 &lt;&gt; "", VLOOKUP(J52, District!$A$1:$B$25, 2, FALSE), "")</f>
        <v>760</v>
      </c>
      <c r="X52" s="46">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45">
        <f>IF(B52 &lt;&gt; "", VLOOKUP(B52, HospitalType!$A$2:$B$9, 2, FALSE), "")</f>
        <v>4</v>
      </c>
    </row>
    <row r="53" spans="1:25" s="47" customFormat="1" x14ac:dyDescent="0.25">
      <c r="A53" s="40" t="s">
        <v>867</v>
      </c>
      <c r="B53" s="41" t="s">
        <v>316</v>
      </c>
      <c r="C53" s="24" t="s">
        <v>700</v>
      </c>
      <c r="D53" s="24" t="s">
        <v>700</v>
      </c>
      <c r="E53" s="41" t="b">
        <v>0</v>
      </c>
      <c r="F53" s="41"/>
      <c r="G53" s="42" t="s">
        <v>868</v>
      </c>
      <c r="H53" s="42" t="s">
        <v>869</v>
      </c>
      <c r="I53" s="42" t="s">
        <v>12</v>
      </c>
      <c r="J53" s="42" t="s">
        <v>327</v>
      </c>
      <c r="K53" s="42" t="s">
        <v>346</v>
      </c>
      <c r="L53" s="42" t="s">
        <v>870</v>
      </c>
      <c r="M53" s="42"/>
      <c r="N53" s="42"/>
      <c r="O53" s="42" t="s">
        <v>871</v>
      </c>
      <c r="P53" s="42" t="s">
        <v>877</v>
      </c>
      <c r="Q53" s="41"/>
      <c r="R53" s="43" t="s">
        <v>53</v>
      </c>
      <c r="S53" s="43"/>
      <c r="T53" s="43"/>
      <c r="U53" s="44"/>
      <c r="V53" s="45">
        <f>IF(I53 &lt;&gt; "", VLOOKUP(I53, City!$A$1:$B$2, 2, FALSE), "" )</f>
        <v>79</v>
      </c>
      <c r="W53" s="45">
        <f>IF(J53 &lt;&gt; "", VLOOKUP(J53, District!$A$1:$B$25, 2, FALSE), "")</f>
        <v>760</v>
      </c>
      <c r="X53" s="46">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45">
        <f>IF(B53 &lt;&gt; "", VLOOKUP(B53, HospitalType!$A$2:$B$9, 2, FALSE), "")</f>
        <v>4</v>
      </c>
    </row>
    <row r="54" spans="1:25" s="47" customFormat="1" x14ac:dyDescent="0.25">
      <c r="A54" s="40" t="s">
        <v>872</v>
      </c>
      <c r="B54" s="41" t="s">
        <v>316</v>
      </c>
      <c r="C54" s="24" t="s">
        <v>945</v>
      </c>
      <c r="D54" s="24" t="s">
        <v>945</v>
      </c>
      <c r="E54" s="41" t="b">
        <v>0</v>
      </c>
      <c r="F54" s="41"/>
      <c r="G54" s="42" t="s">
        <v>873</v>
      </c>
      <c r="H54" s="42" t="s">
        <v>874</v>
      </c>
      <c r="I54" s="42" t="s">
        <v>12</v>
      </c>
      <c r="J54" s="42" t="s">
        <v>327</v>
      </c>
      <c r="K54" s="42" t="s">
        <v>351</v>
      </c>
      <c r="L54" s="42" t="s">
        <v>875</v>
      </c>
      <c r="M54" s="42"/>
      <c r="N54" s="42"/>
      <c r="O54" s="42" t="s">
        <v>876</v>
      </c>
      <c r="P54" s="42"/>
      <c r="Q54" s="41" t="s">
        <v>878</v>
      </c>
      <c r="R54" s="43" t="s">
        <v>53</v>
      </c>
      <c r="S54" s="43"/>
      <c r="T54" s="43"/>
      <c r="U54" s="44"/>
      <c r="V54" s="45">
        <f>IF(I54 &lt;&gt; "", VLOOKUP(I54, City!$A$1:$B$2, 2, FALSE), "" )</f>
        <v>79</v>
      </c>
      <c r="W54" s="45">
        <f>IF(J54 &lt;&gt; "", VLOOKUP(J54, District!$A$1:$B$25, 2, FALSE), "")</f>
        <v>760</v>
      </c>
      <c r="X54" s="46">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45">
        <f>IF(B54 &lt;&gt; "", VLOOKUP(B54, HospitalType!$A$2:$B$9, 2, FALSE), "")</f>
        <v>4</v>
      </c>
    </row>
    <row r="55" spans="1:25" s="47" customFormat="1" x14ac:dyDescent="0.25">
      <c r="A55" s="40" t="s">
        <v>879</v>
      </c>
      <c r="B55" s="41" t="s">
        <v>316</v>
      </c>
      <c r="C55" s="33" t="s">
        <v>652</v>
      </c>
      <c r="D55" s="33" t="s">
        <v>652</v>
      </c>
      <c r="E55" s="41" t="b">
        <v>0</v>
      </c>
      <c r="F55" s="41"/>
      <c r="G55" s="42" t="s">
        <v>880</v>
      </c>
      <c r="H55" s="42" t="s">
        <v>881</v>
      </c>
      <c r="I55" s="42" t="s">
        <v>12</v>
      </c>
      <c r="J55" s="42" t="s">
        <v>332</v>
      </c>
      <c r="K55" s="42" t="s">
        <v>372</v>
      </c>
      <c r="L55" s="42" t="s">
        <v>882</v>
      </c>
      <c r="M55" s="42"/>
      <c r="N55" s="42"/>
      <c r="O55" s="42" t="s">
        <v>940</v>
      </c>
      <c r="P55" s="42" t="s">
        <v>883</v>
      </c>
      <c r="Q55" s="41" t="s">
        <v>884</v>
      </c>
      <c r="R55" s="43" t="s">
        <v>53</v>
      </c>
      <c r="S55" s="43"/>
      <c r="T55" s="43"/>
      <c r="U55" s="44"/>
      <c r="V55" s="45">
        <f>IF(I55 &lt;&gt; "", VLOOKUP(I55, City!$A$1:$B$2, 2, FALSE), "" )</f>
        <v>79</v>
      </c>
      <c r="W55" s="45">
        <f>IF(J55 &lt;&gt; "", VLOOKUP(J55, District!$A$1:$B$25, 2, FALSE), "")</f>
        <v>770</v>
      </c>
      <c r="X55" s="46"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45">
        <f>IF(B55 &lt;&gt; "", VLOOKUP(B55, HospitalType!$A$2:$B$9, 2, FALSE), "")</f>
        <v>4</v>
      </c>
    </row>
    <row r="56" spans="1:25" s="47" customFormat="1" x14ac:dyDescent="0.25">
      <c r="A56" s="40" t="s">
        <v>885</v>
      </c>
      <c r="B56" s="41" t="s">
        <v>316</v>
      </c>
      <c r="C56" s="33" t="s">
        <v>948</v>
      </c>
      <c r="D56" s="33" t="s">
        <v>949</v>
      </c>
      <c r="E56" s="41" t="b">
        <v>0</v>
      </c>
      <c r="F56" s="41"/>
      <c r="G56" s="42" t="s">
        <v>886</v>
      </c>
      <c r="H56" s="42" t="s">
        <v>887</v>
      </c>
      <c r="I56" s="42" t="s">
        <v>12</v>
      </c>
      <c r="J56" s="42" t="s">
        <v>327</v>
      </c>
      <c r="K56" s="42" t="s">
        <v>347</v>
      </c>
      <c r="L56" s="42" t="s">
        <v>888</v>
      </c>
      <c r="M56" s="42"/>
      <c r="N56" s="42"/>
      <c r="O56" s="42"/>
      <c r="P56" s="42"/>
      <c r="Q56" s="41"/>
      <c r="R56" s="43" t="s">
        <v>53</v>
      </c>
      <c r="S56" s="43"/>
      <c r="T56" s="43"/>
      <c r="U56" s="44"/>
      <c r="V56" s="45">
        <f>IF(I56 &lt;&gt; "", VLOOKUP(I56, City!$A$1:$B$2, 2, FALSE), "" )</f>
        <v>79</v>
      </c>
      <c r="W56" s="45">
        <f>IF(J56 &lt;&gt; "", VLOOKUP(J56, District!$A$1:$B$25, 2, FALSE), "")</f>
        <v>760</v>
      </c>
      <c r="X56" s="46">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45">
        <f>IF(B56 &lt;&gt; "", VLOOKUP(B56, HospitalType!$A$2:$B$9, 2, FALSE), "")</f>
        <v>4</v>
      </c>
    </row>
    <row r="57" spans="1:25" s="47" customFormat="1" x14ac:dyDescent="0.25">
      <c r="A57" s="40" t="s">
        <v>889</v>
      </c>
      <c r="B57" s="41" t="s">
        <v>316</v>
      </c>
      <c r="C57" s="33" t="s">
        <v>948</v>
      </c>
      <c r="D57" s="33" t="s">
        <v>948</v>
      </c>
      <c r="E57" s="41" t="b">
        <v>0</v>
      </c>
      <c r="F57" s="41"/>
      <c r="G57" s="42" t="s">
        <v>890</v>
      </c>
      <c r="H57" s="42" t="s">
        <v>891</v>
      </c>
      <c r="I57" s="42" t="s">
        <v>12</v>
      </c>
      <c r="J57" s="42" t="s">
        <v>327</v>
      </c>
      <c r="K57" s="42" t="s">
        <v>347</v>
      </c>
      <c r="L57" s="42" t="s">
        <v>892</v>
      </c>
      <c r="M57" s="42"/>
      <c r="N57" s="42"/>
      <c r="O57" s="42" t="s">
        <v>893</v>
      </c>
      <c r="P57" s="42" t="s">
        <v>894</v>
      </c>
      <c r="Q57" s="41" t="s">
        <v>895</v>
      </c>
      <c r="R57" s="43" t="s">
        <v>53</v>
      </c>
      <c r="S57" s="43"/>
      <c r="T57" s="43"/>
      <c r="U57" s="44"/>
      <c r="V57" s="45">
        <f>IF(I57 &lt;&gt; "", VLOOKUP(I57, City!$A$1:$B$2, 2, FALSE), "" )</f>
        <v>79</v>
      </c>
      <c r="W57" s="45">
        <f>IF(J57 &lt;&gt; "", VLOOKUP(J57, District!$A$1:$B$25, 2, FALSE), "")</f>
        <v>760</v>
      </c>
      <c r="X57" s="46">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45">
        <f>IF(B57 &lt;&gt; "", VLOOKUP(B57, HospitalType!$A$2:$B$9, 2, FALSE), "")</f>
        <v>4</v>
      </c>
    </row>
    <row r="58" spans="1:25" s="47" customFormat="1" x14ac:dyDescent="0.25">
      <c r="A58" s="40" t="s">
        <v>896</v>
      </c>
      <c r="B58" s="41" t="s">
        <v>316</v>
      </c>
      <c r="C58" s="33" t="s">
        <v>955</v>
      </c>
      <c r="D58" s="33" t="s">
        <v>956</v>
      </c>
      <c r="E58" s="41" t="b">
        <v>0</v>
      </c>
      <c r="F58" s="41"/>
      <c r="G58" s="42" t="s">
        <v>897</v>
      </c>
      <c r="H58" s="42" t="s">
        <v>898</v>
      </c>
      <c r="I58" s="42" t="s">
        <v>12</v>
      </c>
      <c r="J58" s="42" t="s">
        <v>327</v>
      </c>
      <c r="K58" s="42" t="s">
        <v>346</v>
      </c>
      <c r="L58" s="42" t="s">
        <v>899</v>
      </c>
      <c r="M58" s="42"/>
      <c r="N58" s="42"/>
      <c r="O58" s="42" t="s">
        <v>900</v>
      </c>
      <c r="P58" s="42" t="s">
        <v>901</v>
      </c>
      <c r="Q58" s="41" t="s">
        <v>895</v>
      </c>
      <c r="R58" s="43" t="s">
        <v>53</v>
      </c>
      <c r="S58" s="43"/>
      <c r="T58" s="43"/>
      <c r="U58" s="44"/>
      <c r="V58" s="45">
        <f>IF(I58 &lt;&gt; "", VLOOKUP(I58, City!$A$1:$B$2, 2, FALSE), "" )</f>
        <v>79</v>
      </c>
      <c r="W58" s="45">
        <f>IF(J58 &lt;&gt; "", VLOOKUP(J58, District!$A$1:$B$25, 2, FALSE), "")</f>
        <v>760</v>
      </c>
      <c r="X58" s="46">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45">
        <f>IF(B58 &lt;&gt; "", VLOOKUP(B58, HospitalType!$A$2:$B$9, 2, FALSE), "")</f>
        <v>4</v>
      </c>
    </row>
    <row r="59" spans="1:25" s="47" customFormat="1" ht="60" x14ac:dyDescent="0.25">
      <c r="A59" s="40" t="s">
        <v>902</v>
      </c>
      <c r="B59" s="41" t="s">
        <v>310</v>
      </c>
      <c r="C59" s="24" t="s">
        <v>964</v>
      </c>
      <c r="D59" s="24" t="s">
        <v>963</v>
      </c>
      <c r="E59" s="41" t="b">
        <v>0</v>
      </c>
      <c r="F59" s="41"/>
      <c r="G59" s="42" t="s">
        <v>903</v>
      </c>
      <c r="H59" s="42" t="s">
        <v>616</v>
      </c>
      <c r="I59" s="42" t="s">
        <v>12</v>
      </c>
      <c r="J59" s="42" t="s">
        <v>332</v>
      </c>
      <c r="K59" s="42" t="s">
        <v>373</v>
      </c>
      <c r="L59" s="42" t="s">
        <v>904</v>
      </c>
      <c r="M59" s="42"/>
      <c r="N59" s="42"/>
      <c r="O59" s="42" t="s">
        <v>905</v>
      </c>
      <c r="P59" s="42" t="s">
        <v>906</v>
      </c>
      <c r="Q59" s="41"/>
      <c r="R59" s="43" t="s">
        <v>61</v>
      </c>
      <c r="S59" s="43" t="s">
        <v>1024</v>
      </c>
      <c r="T59" s="43" t="s">
        <v>1024</v>
      </c>
      <c r="U59" s="44" t="s">
        <v>1044</v>
      </c>
      <c r="V59" s="45">
        <f>IF(I59 &lt;&gt; "", VLOOKUP(I59, City!$A$1:$B$2, 2, FALSE), "" )</f>
        <v>79</v>
      </c>
      <c r="W59" s="45">
        <f>IF(J59 &lt;&gt; "", VLOOKUP(J59, District!$A$1:$B$25, 2, FALSE), "")</f>
        <v>770</v>
      </c>
      <c r="X59" s="46"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45">
        <f>IF(B59 &lt;&gt; "", VLOOKUP(B59, HospitalType!$A$2:$B$9, 2, FALSE), "")</f>
        <v>1</v>
      </c>
    </row>
    <row r="60" spans="1:25" s="47" customFormat="1" ht="45" x14ac:dyDescent="0.25">
      <c r="A60" s="40" t="s">
        <v>907</v>
      </c>
      <c r="B60" s="41" t="s">
        <v>310</v>
      </c>
      <c r="C60" s="24" t="s">
        <v>964</v>
      </c>
      <c r="D60" s="24" t="s">
        <v>963</v>
      </c>
      <c r="E60" s="41" t="b">
        <v>0</v>
      </c>
      <c r="F60" s="41"/>
      <c r="G60" s="42" t="s">
        <v>908</v>
      </c>
      <c r="H60" s="42" t="s">
        <v>909</v>
      </c>
      <c r="I60" s="42" t="s">
        <v>12</v>
      </c>
      <c r="J60" s="42" t="s">
        <v>327</v>
      </c>
      <c r="K60" s="42" t="s">
        <v>347</v>
      </c>
      <c r="L60" s="42" t="s">
        <v>910</v>
      </c>
      <c r="M60" s="42"/>
      <c r="N60" s="42"/>
      <c r="O60" s="42" t="s">
        <v>911</v>
      </c>
      <c r="P60" s="42"/>
      <c r="Q60" s="41" t="s">
        <v>912</v>
      </c>
      <c r="R60" s="43" t="s">
        <v>61</v>
      </c>
      <c r="S60" s="43" t="s">
        <v>1024</v>
      </c>
      <c r="T60" s="43" t="s">
        <v>1024</v>
      </c>
      <c r="U60" s="44" t="s">
        <v>1042</v>
      </c>
      <c r="V60" s="45">
        <f>IF(I60 &lt;&gt; "", VLOOKUP(I60, City!$A$1:$B$2, 2, FALSE), "" )</f>
        <v>79</v>
      </c>
      <c r="W60" s="45">
        <f>IF(J60 &lt;&gt; "", VLOOKUP(J60, District!$A$1:$B$25, 2, FALSE), "")</f>
        <v>760</v>
      </c>
      <c r="X60" s="46">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45">
        <f>IF(B60 &lt;&gt; "", VLOOKUP(B60, HospitalType!$A$2:$B$9, 2, FALSE), "")</f>
        <v>1</v>
      </c>
    </row>
    <row r="61" spans="1:25" s="47" customFormat="1" ht="45" x14ac:dyDescent="0.25">
      <c r="A61" s="40" t="s">
        <v>913</v>
      </c>
      <c r="B61" s="41" t="s">
        <v>316</v>
      </c>
      <c r="C61" s="24" t="s">
        <v>955</v>
      </c>
      <c r="D61" s="24" t="s">
        <v>965</v>
      </c>
      <c r="E61" s="41" t="b">
        <v>0</v>
      </c>
      <c r="F61" s="41"/>
      <c r="G61" s="42" t="s">
        <v>914</v>
      </c>
      <c r="H61" s="42" t="s">
        <v>915</v>
      </c>
      <c r="I61" s="42" t="s">
        <v>12</v>
      </c>
      <c r="J61" s="42" t="s">
        <v>334</v>
      </c>
      <c r="K61" s="42" t="s">
        <v>368</v>
      </c>
      <c r="L61" s="42" t="s">
        <v>916</v>
      </c>
      <c r="M61" s="42"/>
      <c r="N61" s="42"/>
      <c r="O61" s="42" t="s">
        <v>917</v>
      </c>
      <c r="P61" s="42" t="s">
        <v>918</v>
      </c>
      <c r="Q61" s="41" t="s">
        <v>919</v>
      </c>
      <c r="R61" s="43" t="s">
        <v>61</v>
      </c>
      <c r="S61" s="43" t="s">
        <v>1024</v>
      </c>
      <c r="T61" s="43" t="s">
        <v>1024</v>
      </c>
      <c r="U61" s="44" t="s">
        <v>1042</v>
      </c>
      <c r="V61" s="45">
        <f>IF(I61 &lt;&gt; "", VLOOKUP(I61, City!$A$1:$B$2, 2, FALSE), "" )</f>
        <v>79</v>
      </c>
      <c r="W61" s="45">
        <f>IF(J61 &lt;&gt; "", VLOOKUP(J61, District!$A$1:$B$25, 2, FALSE), "")</f>
        <v>774</v>
      </c>
      <c r="X61" s="46"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45">
        <f>IF(B61 &lt;&gt; "", VLOOKUP(B61, HospitalType!$A$2:$B$9, 2, FALSE), "")</f>
        <v>4</v>
      </c>
    </row>
    <row r="62" spans="1:25" s="47" customFormat="1" ht="45" x14ac:dyDescent="0.25">
      <c r="A62" s="40" t="s">
        <v>920</v>
      </c>
      <c r="B62" s="41" t="s">
        <v>316</v>
      </c>
      <c r="C62" s="24" t="s">
        <v>945</v>
      </c>
      <c r="D62" s="24" t="s">
        <v>945</v>
      </c>
      <c r="E62" s="41" t="b">
        <v>0</v>
      </c>
      <c r="F62" s="41"/>
      <c r="G62" s="48" t="s">
        <v>921</v>
      </c>
      <c r="H62" s="42" t="s">
        <v>922</v>
      </c>
      <c r="I62" s="42" t="s">
        <v>12</v>
      </c>
      <c r="J62" s="42" t="s">
        <v>336</v>
      </c>
      <c r="K62" s="42" t="s">
        <v>389</v>
      </c>
      <c r="L62" s="42" t="s">
        <v>923</v>
      </c>
      <c r="M62" s="42" t="s">
        <v>924</v>
      </c>
      <c r="N62" s="42"/>
      <c r="O62" s="49" t="s">
        <v>942</v>
      </c>
      <c r="P62" s="42" t="s">
        <v>925</v>
      </c>
      <c r="Q62" s="41" t="s">
        <v>926</v>
      </c>
      <c r="R62" s="43" t="s">
        <v>61</v>
      </c>
      <c r="S62" s="43" t="s">
        <v>1024</v>
      </c>
      <c r="T62" s="43" t="s">
        <v>1024</v>
      </c>
      <c r="U62" s="44" t="s">
        <v>1043</v>
      </c>
      <c r="V62" s="45">
        <f>IF(I62 &lt;&gt; "", VLOOKUP(I62, City!$A$1:$B$2, 2, FALSE), "" )</f>
        <v>79</v>
      </c>
      <c r="W62" s="45">
        <f>IF(J62 &lt;&gt; "", VLOOKUP(J62, District!$A$1:$B$25, 2, FALSE), "")</f>
        <v>778</v>
      </c>
      <c r="X62" s="46">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45">
        <f>IF(B62 &lt;&gt; "", VLOOKUP(B62, HospitalType!$A$2:$B$9, 2, FALSE), "")</f>
        <v>4</v>
      </c>
    </row>
    <row r="63" spans="1:25" s="47" customFormat="1" ht="45" x14ac:dyDescent="0.25">
      <c r="A63" s="40" t="s">
        <v>927</v>
      </c>
      <c r="B63" s="41" t="s">
        <v>311</v>
      </c>
      <c r="C63" s="33" t="s">
        <v>652</v>
      </c>
      <c r="D63" s="33" t="s">
        <v>652</v>
      </c>
      <c r="E63" s="41" t="b">
        <v>0</v>
      </c>
      <c r="F63" s="41"/>
      <c r="G63" s="42" t="s">
        <v>928</v>
      </c>
      <c r="H63" s="42" t="s">
        <v>929</v>
      </c>
      <c r="I63" s="42" t="s">
        <v>12</v>
      </c>
      <c r="J63" s="42" t="s">
        <v>328</v>
      </c>
      <c r="K63" s="42" t="s">
        <v>369</v>
      </c>
      <c r="L63" s="42" t="s">
        <v>930</v>
      </c>
      <c r="M63" s="42"/>
      <c r="N63" s="42"/>
      <c r="O63" s="42"/>
      <c r="P63" s="42"/>
      <c r="Q63" s="41" t="s">
        <v>912</v>
      </c>
      <c r="R63" s="43" t="s">
        <v>61</v>
      </c>
      <c r="S63" s="43" t="s">
        <v>1024</v>
      </c>
      <c r="T63" s="43" t="s">
        <v>1024</v>
      </c>
      <c r="U63" s="44" t="s">
        <v>1042</v>
      </c>
      <c r="V63" s="45">
        <f>IF(I63 &lt;&gt; "", VLOOKUP(I63, City!$A$1:$B$2, 2, FALSE), "" )</f>
        <v>79</v>
      </c>
      <c r="W63" s="45">
        <f>IF(J63 &lt;&gt; "", VLOOKUP(J63, District!$A$1:$B$25, 2, FALSE), "")</f>
        <v>771</v>
      </c>
      <c r="X63" s="46"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45">
        <f>IF(B63 &lt;&gt; "", VLOOKUP(B63, HospitalType!$A$2:$B$9, 2, FALSE), "")</f>
        <v>3</v>
      </c>
    </row>
    <row r="64" spans="1:25" ht="45" x14ac:dyDescent="0.25">
      <c r="A64" s="34" t="s">
        <v>931</v>
      </c>
      <c r="B64" s="24" t="s">
        <v>310</v>
      </c>
      <c r="C64" s="33" t="s">
        <v>948</v>
      </c>
      <c r="D64" s="33" t="s">
        <v>949</v>
      </c>
      <c r="E64" s="24" t="b">
        <v>0</v>
      </c>
      <c r="F64" s="24"/>
      <c r="G64" s="25" t="s">
        <v>932</v>
      </c>
      <c r="H64" s="25" t="s">
        <v>933</v>
      </c>
      <c r="I64" s="25" t="s">
        <v>12</v>
      </c>
      <c r="J64" s="25" t="s">
        <v>332</v>
      </c>
      <c r="K64" s="25" t="s">
        <v>375</v>
      </c>
      <c r="L64" s="25" t="s">
        <v>934</v>
      </c>
      <c r="M64" s="25"/>
      <c r="N64" s="25"/>
      <c r="O64" s="25" t="s">
        <v>935</v>
      </c>
      <c r="P64" s="25" t="s">
        <v>936</v>
      </c>
      <c r="Q64" s="24"/>
      <c r="R64" s="26" t="s">
        <v>69</v>
      </c>
      <c r="S64" s="26" t="s">
        <v>1024</v>
      </c>
      <c r="T64" s="26" t="s">
        <v>1024</v>
      </c>
      <c r="U64" s="27" t="s">
        <v>1045</v>
      </c>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ht="75" x14ac:dyDescent="0.25">
      <c r="A65" s="55" t="s">
        <v>1047</v>
      </c>
      <c r="B65" s="50" t="s">
        <v>317</v>
      </c>
      <c r="C65" s="50" t="s">
        <v>1048</v>
      </c>
      <c r="D65" s="50" t="s">
        <v>1048</v>
      </c>
      <c r="E65" s="50" t="b">
        <v>0</v>
      </c>
      <c r="F65" s="50"/>
      <c r="G65" s="51" t="s">
        <v>1049</v>
      </c>
      <c r="H65" s="51" t="s">
        <v>1050</v>
      </c>
      <c r="I65" s="51" t="s">
        <v>12</v>
      </c>
      <c r="J65" s="51" t="s">
        <v>327</v>
      </c>
      <c r="K65" s="51" t="s">
        <v>355</v>
      </c>
      <c r="L65" s="51" t="s">
        <v>1051</v>
      </c>
      <c r="M65" s="51" t="s">
        <v>1052</v>
      </c>
      <c r="N65" s="51"/>
      <c r="O65" s="51" t="s">
        <v>1053</v>
      </c>
      <c r="P65" s="51"/>
      <c r="Q65" s="50"/>
      <c r="R65" s="52" t="s">
        <v>1054</v>
      </c>
      <c r="S65" s="52" t="s">
        <v>1055</v>
      </c>
      <c r="T65" s="52" t="s">
        <v>981</v>
      </c>
      <c r="U65" s="53" t="s">
        <v>1056</v>
      </c>
      <c r="V65" s="20">
        <f>IF(I65 &lt;&gt; "", VLOOKUP(I65, City!$A$1:$B$2, 2, FALSE), "" )</f>
        <v>79</v>
      </c>
      <c r="W65" s="20">
        <f>IF(J65 &lt;&gt; "", VLOOKUP(J65, District!$A$1:$B$25, 2, FALSE), "")</f>
        <v>760</v>
      </c>
      <c r="X65" s="21">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26734</v>
      </c>
      <c r="Y65" s="20">
        <f>IF(B65 &lt;&gt; "", VLOOKUP(B65, HospitalType!$A$2:$B$9, 2, FALSE), "")</f>
        <v>5</v>
      </c>
    </row>
    <row r="66" spans="1:25" ht="60" x14ac:dyDescent="0.25">
      <c r="A66" s="55" t="s">
        <v>1057</v>
      </c>
      <c r="B66" s="50" t="s">
        <v>317</v>
      </c>
      <c r="C66" s="50" t="s">
        <v>1048</v>
      </c>
      <c r="D66" s="50" t="s">
        <v>1048</v>
      </c>
      <c r="E66" s="50" t="b">
        <v>0</v>
      </c>
      <c r="F66" s="50"/>
      <c r="G66" s="51" t="s">
        <v>1058</v>
      </c>
      <c r="H66" s="51" t="s">
        <v>715</v>
      </c>
      <c r="I66" s="51" t="s">
        <v>12</v>
      </c>
      <c r="J66" s="51" t="s">
        <v>328</v>
      </c>
      <c r="K66" s="51" t="s">
        <v>379</v>
      </c>
      <c r="L66" s="51" t="s">
        <v>1059</v>
      </c>
      <c r="M66" s="51" t="s">
        <v>1060</v>
      </c>
      <c r="N66" s="51"/>
      <c r="O66" s="51"/>
      <c r="P66" s="51"/>
      <c r="Q66" s="50"/>
      <c r="R66" s="52" t="s">
        <v>1061</v>
      </c>
      <c r="S66" s="52" t="s">
        <v>1055</v>
      </c>
      <c r="T66" s="52" t="s">
        <v>708</v>
      </c>
      <c r="U66" s="53" t="s">
        <v>1062</v>
      </c>
      <c r="V66" s="20">
        <f>IF(I66 &lt;&gt; "", VLOOKUP(I66, City!$A$1:$B$2, 2, FALSE), "" )</f>
        <v>79</v>
      </c>
      <c r="W66" s="20">
        <f>IF(J66 &lt;&gt; "", VLOOKUP(J66, District!$A$1:$B$25, 2, FALSE), "")</f>
        <v>771</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27166</v>
      </c>
      <c r="Y66" s="20">
        <f>IF(B66 &lt;&gt; "", VLOOKUP(B66, HospitalType!$A$2:$B$9, 2, FALSE), "")</f>
        <v>5</v>
      </c>
    </row>
    <row r="67" spans="1:25" ht="60" x14ac:dyDescent="0.25">
      <c r="A67" s="55" t="s">
        <v>1063</v>
      </c>
      <c r="B67" s="50" t="s">
        <v>317</v>
      </c>
      <c r="C67" s="50" t="s">
        <v>1048</v>
      </c>
      <c r="D67" s="50" t="s">
        <v>1048</v>
      </c>
      <c r="E67" s="50" t="b">
        <v>0</v>
      </c>
      <c r="F67" s="50"/>
      <c r="G67" s="51" t="s">
        <v>873</v>
      </c>
      <c r="H67" s="51" t="s">
        <v>1064</v>
      </c>
      <c r="I67" s="51" t="s">
        <v>12</v>
      </c>
      <c r="J67" s="51" t="s">
        <v>329</v>
      </c>
      <c r="K67" s="51" t="s">
        <v>374</v>
      </c>
      <c r="L67" s="51" t="s">
        <v>1065</v>
      </c>
      <c r="M67" s="51"/>
      <c r="N67" s="51"/>
      <c r="O67" s="51"/>
      <c r="P67" s="51"/>
      <c r="Q67" s="50"/>
      <c r="R67" s="52" t="s">
        <v>1061</v>
      </c>
      <c r="S67" s="52" t="s">
        <v>1055</v>
      </c>
      <c r="T67" s="52" t="s">
        <v>707</v>
      </c>
      <c r="U67" s="53" t="s">
        <v>1056</v>
      </c>
      <c r="V67" s="20">
        <f>IF(I67 &lt;&gt; "", VLOOKUP(I67, City!$A$1:$B$2, 2, FALSE), "" )</f>
        <v>79</v>
      </c>
      <c r="W67" s="20">
        <f>IF(J67 &lt;&gt; "", VLOOKUP(J67, District!$A$1:$B$25, 2, FALSE), "")</f>
        <v>772</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27229</v>
      </c>
      <c r="Y67" s="20">
        <f>IF(B67 &lt;&gt; "", VLOOKUP(B67, HospitalType!$A$2:$B$9, 2, FALSE), "")</f>
        <v>5</v>
      </c>
    </row>
    <row r="68" spans="1:25" ht="75" x14ac:dyDescent="0.25">
      <c r="A68" s="55" t="s">
        <v>1066</v>
      </c>
      <c r="B68" s="50" t="s">
        <v>317</v>
      </c>
      <c r="C68" s="50" t="s">
        <v>1048</v>
      </c>
      <c r="D68" s="50" t="s">
        <v>1048</v>
      </c>
      <c r="E68" s="50" t="b">
        <v>0</v>
      </c>
      <c r="F68" s="50"/>
      <c r="G68" s="51" t="s">
        <v>1067</v>
      </c>
      <c r="H68" s="51" t="s">
        <v>1068</v>
      </c>
      <c r="I68" s="51" t="s">
        <v>12</v>
      </c>
      <c r="J68" s="51" t="s">
        <v>330</v>
      </c>
      <c r="K68" s="51" t="s">
        <v>409</v>
      </c>
      <c r="L68" s="51" t="s">
        <v>1069</v>
      </c>
      <c r="M68" s="51"/>
      <c r="N68" s="51"/>
      <c r="O68" s="51"/>
      <c r="P68" s="51"/>
      <c r="Q68" s="50"/>
      <c r="R68" s="52" t="s">
        <v>1054</v>
      </c>
      <c r="S68" s="52" t="s">
        <v>1055</v>
      </c>
      <c r="T68" s="52" t="s">
        <v>708</v>
      </c>
      <c r="U68" s="53" t="s">
        <v>1062</v>
      </c>
      <c r="V68" s="20">
        <f>IF(I68 &lt;&gt; "", VLOOKUP(I68, City!$A$1:$B$2, 2, FALSE), "" )</f>
        <v>79</v>
      </c>
      <c r="W68" s="20">
        <f>IF(J68 &lt;&gt; "", VLOOKUP(J68, District!$A$1:$B$25, 2, FALSE), "")</f>
        <v>761</v>
      </c>
      <c r="X68" s="21">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26776</v>
      </c>
      <c r="Y68" s="20">
        <f>IF(B68 &lt;&gt; "", VLOOKUP(B68, HospitalType!$A$2:$B$9, 2, FALSE), "")</f>
        <v>5</v>
      </c>
    </row>
    <row r="69" spans="1:25" ht="75" x14ac:dyDescent="0.25">
      <c r="A69" s="55" t="s">
        <v>1070</v>
      </c>
      <c r="B69" s="50" t="s">
        <v>317</v>
      </c>
      <c r="C69" s="50" t="s">
        <v>948</v>
      </c>
      <c r="D69" s="50" t="s">
        <v>1048</v>
      </c>
      <c r="E69" s="50" t="b">
        <v>0</v>
      </c>
      <c r="F69" s="50"/>
      <c r="G69" s="51" t="s">
        <v>1071</v>
      </c>
      <c r="H69" s="51" t="s">
        <v>1072</v>
      </c>
      <c r="I69" s="51" t="s">
        <v>12</v>
      </c>
      <c r="J69" s="51" t="s">
        <v>331</v>
      </c>
      <c r="K69" s="51" t="s">
        <v>362</v>
      </c>
      <c r="L69" s="51" t="s">
        <v>1073</v>
      </c>
      <c r="M69" s="51"/>
      <c r="N69" s="51"/>
      <c r="O69" s="51"/>
      <c r="P69" s="51"/>
      <c r="Q69" s="50"/>
      <c r="R69" s="52" t="s">
        <v>1054</v>
      </c>
      <c r="S69" s="52" t="s">
        <v>1055</v>
      </c>
      <c r="T69" s="52" t="s">
        <v>981</v>
      </c>
      <c r="U69" s="53" t="s">
        <v>1062</v>
      </c>
      <c r="V69" s="20">
        <f>IF(I69 &lt;&gt; "", VLOOKUP(I69, City!$A$1:$B$2, 2, FALSE), "" )</f>
        <v>79</v>
      </c>
      <c r="W69" s="20">
        <f>IF(J69 &lt;&gt; "", VLOOKUP(J69, District!$A$1:$B$25, 2, FALSE), "")</f>
        <v>769</v>
      </c>
      <c r="X69" s="21">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27100</v>
      </c>
      <c r="Y69" s="20">
        <f>IF(B69 &lt;&gt; "", VLOOKUP(B69, HospitalType!$A$2:$B$9, 2, FALSE), "")</f>
        <v>5</v>
      </c>
    </row>
    <row r="70" spans="1:25" ht="75" x14ac:dyDescent="0.25">
      <c r="A70" s="55" t="s">
        <v>1074</v>
      </c>
      <c r="B70" s="50" t="s">
        <v>317</v>
      </c>
      <c r="C70" s="50" t="s">
        <v>1048</v>
      </c>
      <c r="D70" s="50" t="s">
        <v>1048</v>
      </c>
      <c r="E70" s="50" t="b">
        <v>0</v>
      </c>
      <c r="F70" s="50"/>
      <c r="G70" s="51" t="s">
        <v>1075</v>
      </c>
      <c r="H70" s="51" t="s">
        <v>933</v>
      </c>
      <c r="I70" s="51" t="s">
        <v>12</v>
      </c>
      <c r="J70" s="51" t="s">
        <v>332</v>
      </c>
      <c r="K70" s="51" t="s">
        <v>373</v>
      </c>
      <c r="L70" s="51" t="s">
        <v>1076</v>
      </c>
      <c r="M70" s="51" t="s">
        <v>1077</v>
      </c>
      <c r="N70" s="51"/>
      <c r="O70" s="51" t="s">
        <v>1078</v>
      </c>
      <c r="P70" s="51"/>
      <c r="Q70" s="50"/>
      <c r="R70" s="52" t="s">
        <v>1079</v>
      </c>
      <c r="S70" s="52" t="s">
        <v>1055</v>
      </c>
      <c r="T70" s="52" t="s">
        <v>981</v>
      </c>
      <c r="U70" s="53" t="s">
        <v>1056</v>
      </c>
      <c r="V70" s="20">
        <f>IF(I70 &lt;&gt; "", VLOOKUP(I70, City!$A$1:$B$2, 2, FALSE), "" )</f>
        <v>79</v>
      </c>
      <c r="W70" s="20">
        <f>IF(J70 &lt;&gt; "", VLOOKUP(J70, District!$A$1:$B$25, 2, FALSE), "")</f>
        <v>770</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27124</v>
      </c>
      <c r="Y70" s="20">
        <f>IF(B70 &lt;&gt; "", VLOOKUP(B70, HospitalType!$A$2:$B$9, 2, FALSE), "")</f>
        <v>5</v>
      </c>
    </row>
    <row r="71" spans="1:25" ht="75" x14ac:dyDescent="0.25">
      <c r="A71" s="55" t="s">
        <v>1080</v>
      </c>
      <c r="B71" s="50" t="s">
        <v>317</v>
      </c>
      <c r="C71" s="50" t="s">
        <v>1048</v>
      </c>
      <c r="D71" s="50" t="s">
        <v>1048</v>
      </c>
      <c r="E71" s="50" t="b">
        <v>0</v>
      </c>
      <c r="F71" s="50"/>
      <c r="G71" s="51" t="s">
        <v>1081</v>
      </c>
      <c r="H71" s="51" t="s">
        <v>1082</v>
      </c>
      <c r="I71" s="51" t="s">
        <v>12</v>
      </c>
      <c r="J71" s="51" t="s">
        <v>333</v>
      </c>
      <c r="K71" s="51" t="s">
        <v>378</v>
      </c>
      <c r="L71" s="51" t="s">
        <v>1083</v>
      </c>
      <c r="M71" s="51"/>
      <c r="N71" s="51"/>
      <c r="O71" s="51" t="s">
        <v>1084</v>
      </c>
      <c r="P71" s="51"/>
      <c r="Q71" s="50"/>
      <c r="R71" s="52" t="s">
        <v>1054</v>
      </c>
      <c r="S71" s="52" t="s">
        <v>1055</v>
      </c>
      <c r="T71" s="52" t="s">
        <v>707</v>
      </c>
      <c r="U71" s="53" t="s">
        <v>1056</v>
      </c>
      <c r="V71" s="20">
        <f>IF(I71 &lt;&gt; "", VLOOKUP(I71, City!$A$1:$B$2, 2, FALSE), "" )</f>
        <v>79</v>
      </c>
      <c r="W71" s="20">
        <f>IF(J71 &lt;&gt; "", VLOOKUP(J71, District!$A$1:$B$25, 2, FALSE), "")</f>
        <v>773</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27256</v>
      </c>
      <c r="Y71" s="20">
        <f>IF(B71 &lt;&gt; "", VLOOKUP(B71, HospitalType!$A$2:$B$9, 2, FALSE), "")</f>
        <v>5</v>
      </c>
    </row>
    <row r="72" spans="1:25" ht="75" x14ac:dyDescent="0.25">
      <c r="A72" s="55" t="s">
        <v>1085</v>
      </c>
      <c r="B72" s="50" t="s">
        <v>317</v>
      </c>
      <c r="C72" s="50" t="s">
        <v>948</v>
      </c>
      <c r="D72" s="50" t="s">
        <v>1048</v>
      </c>
      <c r="E72" s="50" t="b">
        <v>0</v>
      </c>
      <c r="F72" s="50"/>
      <c r="G72" s="51" t="s">
        <v>1086</v>
      </c>
      <c r="H72" s="51" t="s">
        <v>702</v>
      </c>
      <c r="I72" s="51" t="s">
        <v>12</v>
      </c>
      <c r="J72" s="51" t="s">
        <v>334</v>
      </c>
      <c r="K72" s="51" t="s">
        <v>377</v>
      </c>
      <c r="L72" s="51" t="s">
        <v>1087</v>
      </c>
      <c r="M72" s="51" t="s">
        <v>1088</v>
      </c>
      <c r="N72" s="51"/>
      <c r="O72" s="51"/>
      <c r="P72" s="51"/>
      <c r="Q72" s="50"/>
      <c r="R72" s="52" t="s">
        <v>1054</v>
      </c>
      <c r="S72" s="52" t="s">
        <v>1055</v>
      </c>
      <c r="T72" s="52" t="s">
        <v>708</v>
      </c>
      <c r="U72" s="53" t="s">
        <v>1056</v>
      </c>
      <c r="V72" s="20">
        <f>IF(I72 &lt;&gt; "", VLOOKUP(I72, City!$A$1:$B$2, 2, FALSE), "" )</f>
        <v>79</v>
      </c>
      <c r="W72" s="20">
        <f>IF(J72 &lt;&gt; "", VLOOKUP(J72, District!$A$1:$B$25, 2, FALSE), "")</f>
        <v>774</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27328</v>
      </c>
      <c r="Y72" s="20">
        <f>IF(B72 &lt;&gt; "", VLOOKUP(B72, HospitalType!$A$2:$B$9, 2, FALSE), "")</f>
        <v>5</v>
      </c>
    </row>
    <row r="73" spans="1:25" ht="75" x14ac:dyDescent="0.25">
      <c r="A73" s="55" t="s">
        <v>1089</v>
      </c>
      <c r="B73" s="50" t="s">
        <v>317</v>
      </c>
      <c r="C73" s="50" t="s">
        <v>948</v>
      </c>
      <c r="D73" s="50" t="s">
        <v>1048</v>
      </c>
      <c r="E73" s="50" t="b">
        <v>0</v>
      </c>
      <c r="F73" s="50"/>
      <c r="G73" s="51" t="s">
        <v>1090</v>
      </c>
      <c r="H73" s="51" t="s">
        <v>1091</v>
      </c>
      <c r="I73" s="51" t="s">
        <v>12</v>
      </c>
      <c r="J73" s="51" t="s">
        <v>335</v>
      </c>
      <c r="K73" s="51" t="s">
        <v>379</v>
      </c>
      <c r="L73" s="51" t="s">
        <v>1092</v>
      </c>
      <c r="M73" s="51"/>
      <c r="N73" s="51"/>
      <c r="O73" s="51"/>
      <c r="P73" s="51"/>
      <c r="Q73" s="50"/>
      <c r="R73" s="52" t="s">
        <v>1054</v>
      </c>
      <c r="S73" s="52" t="s">
        <v>1055</v>
      </c>
      <c r="T73" s="52" t="s">
        <v>707</v>
      </c>
      <c r="U73" s="53" t="s">
        <v>1056</v>
      </c>
      <c r="V73" s="20">
        <f>IF(I73 &lt;&gt; "", VLOOKUP(I73, City!$A$1:$B$2, 2, FALSE), "" )</f>
        <v>79</v>
      </c>
      <c r="W73" s="20">
        <f>IF(J73 &lt;&gt; "", VLOOKUP(J73, District!$A$1:$B$25, 2, FALSE), "")</f>
        <v>775</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27349</v>
      </c>
      <c r="Y73" s="20">
        <f>IF(B73 &lt;&gt; "", VLOOKUP(B73, HospitalType!$A$2:$B$9, 2, FALSE), "")</f>
        <v>5</v>
      </c>
    </row>
    <row r="74" spans="1:25" ht="75" x14ac:dyDescent="0.25">
      <c r="A74" s="55" t="s">
        <v>1093</v>
      </c>
      <c r="B74" s="50" t="s">
        <v>317</v>
      </c>
      <c r="C74" s="50" t="s">
        <v>1048</v>
      </c>
      <c r="D74" s="50" t="s">
        <v>1048</v>
      </c>
      <c r="E74" s="50" t="b">
        <v>0</v>
      </c>
      <c r="F74" s="50"/>
      <c r="G74" s="51" t="s">
        <v>1094</v>
      </c>
      <c r="H74" s="51" t="s">
        <v>1095</v>
      </c>
      <c r="I74" s="51" t="s">
        <v>12</v>
      </c>
      <c r="J74" s="51" t="s">
        <v>336</v>
      </c>
      <c r="K74" s="51" t="s">
        <v>390</v>
      </c>
      <c r="L74" s="51" t="s">
        <v>1096</v>
      </c>
      <c r="M74" s="51" t="s">
        <v>1097</v>
      </c>
      <c r="N74" s="51"/>
      <c r="O74" s="51"/>
      <c r="P74" s="51"/>
      <c r="Q74" s="50"/>
      <c r="R74" s="52" t="s">
        <v>1054</v>
      </c>
      <c r="S74" s="52" t="s">
        <v>1055</v>
      </c>
      <c r="T74" s="52" t="s">
        <v>981</v>
      </c>
      <c r="U74" s="53" t="s">
        <v>1056</v>
      </c>
      <c r="V74" s="20">
        <f>IF(I74 &lt;&gt; "", VLOOKUP(I74, City!$A$1:$B$2, 2, FALSE), "" )</f>
        <v>79</v>
      </c>
      <c r="W74" s="20">
        <f>IF(J74 &lt;&gt; "", VLOOKUP(J74, District!$A$1:$B$25, 2, FALSE), "")</f>
        <v>778</v>
      </c>
      <c r="X74" s="21">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27487</v>
      </c>
      <c r="Y74" s="20">
        <f>IF(B74 &lt;&gt; "", VLOOKUP(B74, HospitalType!$A$2:$B$9, 2, FALSE), "")</f>
        <v>5</v>
      </c>
    </row>
    <row r="75" spans="1:25" ht="75" x14ac:dyDescent="0.25">
      <c r="A75" s="55" t="s">
        <v>1098</v>
      </c>
      <c r="B75" s="50" t="s">
        <v>317</v>
      </c>
      <c r="C75" s="50" t="s">
        <v>948</v>
      </c>
      <c r="D75" s="50" t="s">
        <v>1048</v>
      </c>
      <c r="E75" s="50" t="b">
        <v>0</v>
      </c>
      <c r="F75" s="50"/>
      <c r="G75" s="51" t="s">
        <v>1099</v>
      </c>
      <c r="H75" s="51" t="s">
        <v>1100</v>
      </c>
      <c r="I75" s="51" t="s">
        <v>12</v>
      </c>
      <c r="J75" s="51" t="s">
        <v>337</v>
      </c>
      <c r="K75" s="51" t="s">
        <v>370</v>
      </c>
      <c r="L75" s="51" t="s">
        <v>1101</v>
      </c>
      <c r="M75" s="51" t="s">
        <v>1102</v>
      </c>
      <c r="N75" s="51"/>
      <c r="O75" s="51"/>
      <c r="P75" s="51"/>
      <c r="Q75" s="50"/>
      <c r="R75" s="52" t="s">
        <v>1061</v>
      </c>
      <c r="S75" s="52" t="s">
        <v>1055</v>
      </c>
      <c r="T75" s="52" t="s">
        <v>981</v>
      </c>
      <c r="U75" s="53" t="s">
        <v>1056</v>
      </c>
      <c r="V75" s="20">
        <f>IF(I75 &lt;&gt; "", VLOOKUP(I75, City!$A$1:$B$2, 2, FALSE), "" )</f>
        <v>79</v>
      </c>
      <c r="W75" s="20">
        <f>IF(J75 &lt;&gt; "", VLOOKUP(J75, District!$A$1:$B$25, 2, FALSE), "")</f>
        <v>776</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27409</v>
      </c>
      <c r="Y75" s="20">
        <f>IF(B75 &lt;&gt; "", VLOOKUP(B75, HospitalType!$A$2:$B$9, 2, FALSE), "")</f>
        <v>5</v>
      </c>
    </row>
    <row r="76" spans="1:25" ht="75" x14ac:dyDescent="0.25">
      <c r="A76" s="55" t="s">
        <v>1103</v>
      </c>
      <c r="B76" s="50" t="s">
        <v>317</v>
      </c>
      <c r="C76" s="50" t="s">
        <v>948</v>
      </c>
      <c r="D76" s="50" t="s">
        <v>1048</v>
      </c>
      <c r="E76" s="50" t="b">
        <v>0</v>
      </c>
      <c r="F76" s="50"/>
      <c r="G76" s="51"/>
      <c r="H76" s="51" t="s">
        <v>1104</v>
      </c>
      <c r="I76" s="51" t="s">
        <v>12</v>
      </c>
      <c r="J76" s="51" t="s">
        <v>338</v>
      </c>
      <c r="K76" s="54" t="s">
        <v>403</v>
      </c>
      <c r="L76" s="51" t="s">
        <v>1105</v>
      </c>
      <c r="M76" s="51"/>
      <c r="N76" s="51"/>
      <c r="O76" s="51"/>
      <c r="P76" s="51"/>
      <c r="Q76" s="50"/>
      <c r="R76" s="52" t="s">
        <v>1106</v>
      </c>
      <c r="S76" s="52" t="s">
        <v>1055</v>
      </c>
      <c r="T76" s="52" t="s">
        <v>981</v>
      </c>
      <c r="U76" s="53" t="s">
        <v>1056</v>
      </c>
      <c r="V76" s="20">
        <f>IF(I76 &lt;&gt; "", VLOOKUP(I76, City!$A$1:$B$2, 2, FALSE), "" )</f>
        <v>79</v>
      </c>
      <c r="W76" s="20">
        <f>IF(J76 &lt;&gt; "", VLOOKUP(J76, District!$A$1:$B$25, 2, FALSE), "")</f>
        <v>763</v>
      </c>
      <c r="X76" s="21">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26842</v>
      </c>
      <c r="Y76" s="20">
        <f>IF(B76 &lt;&gt; "", VLOOKUP(B76, HospitalType!$A$2:$B$9, 2, FALSE), "")</f>
        <v>5</v>
      </c>
    </row>
    <row r="77" spans="1:25" ht="75" x14ac:dyDescent="0.25">
      <c r="A77" s="55" t="s">
        <v>1107</v>
      </c>
      <c r="B77" s="50" t="s">
        <v>317</v>
      </c>
      <c r="C77" s="50" t="s">
        <v>948</v>
      </c>
      <c r="D77" s="50" t="s">
        <v>1048</v>
      </c>
      <c r="E77" s="50" t="b">
        <v>0</v>
      </c>
      <c r="F77" s="50"/>
      <c r="G77" s="51" t="s">
        <v>1108</v>
      </c>
      <c r="H77" s="51" t="s">
        <v>1109</v>
      </c>
      <c r="I77" s="51" t="s">
        <v>12</v>
      </c>
      <c r="J77" s="51" t="s">
        <v>419</v>
      </c>
      <c r="K77" s="51" t="s">
        <v>422</v>
      </c>
      <c r="L77" s="51" t="s">
        <v>1110</v>
      </c>
      <c r="M77" s="51"/>
      <c r="N77" s="51"/>
      <c r="O77" s="51"/>
      <c r="P77" s="51"/>
      <c r="Q77" s="50"/>
      <c r="R77" s="52" t="s">
        <v>1054</v>
      </c>
      <c r="S77" s="52" t="s">
        <v>1055</v>
      </c>
      <c r="T77" s="52" t="s">
        <v>707</v>
      </c>
      <c r="U77" s="53" t="s">
        <v>1056</v>
      </c>
      <c r="V77" s="20">
        <f>IF(I77 &lt;&gt; "", VLOOKUP(I77, City!$A$1:$B$2, 2, FALSE), "" )</f>
        <v>79</v>
      </c>
      <c r="W77" s="20">
        <f>IF(J77 &lt;&gt; "", VLOOKUP(J77, District!$A$1:$B$25, 2, FALSE), "")</f>
        <v>785</v>
      </c>
      <c r="X77" s="21">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27595</v>
      </c>
      <c r="Y77" s="20">
        <f>IF(B77 &lt;&gt; "", VLOOKUP(B77, HospitalType!$A$2:$B$9, 2, FALSE), "")</f>
        <v>5</v>
      </c>
    </row>
    <row r="78" spans="1:25" ht="75" x14ac:dyDescent="0.25">
      <c r="A78" s="55" t="s">
        <v>1111</v>
      </c>
      <c r="B78" s="50" t="s">
        <v>317</v>
      </c>
      <c r="C78" s="50" t="s">
        <v>948</v>
      </c>
      <c r="D78" s="50" t="s">
        <v>1048</v>
      </c>
      <c r="E78" s="50" t="b">
        <v>0</v>
      </c>
      <c r="F78" s="50"/>
      <c r="G78" s="51" t="s">
        <v>1112</v>
      </c>
      <c r="H78" s="51" t="s">
        <v>1113</v>
      </c>
      <c r="I78" s="51" t="s">
        <v>12</v>
      </c>
      <c r="J78" s="51" t="s">
        <v>339</v>
      </c>
      <c r="K78" s="51" t="s">
        <v>446</v>
      </c>
      <c r="L78" s="51" t="s">
        <v>1114</v>
      </c>
      <c r="M78" s="51"/>
      <c r="N78" s="51"/>
      <c r="O78" s="51"/>
      <c r="P78" s="51"/>
      <c r="Q78" s="50"/>
      <c r="R78" s="52" t="s">
        <v>1054</v>
      </c>
      <c r="S78" s="52" t="s">
        <v>1055</v>
      </c>
      <c r="T78" s="52" t="s">
        <v>707</v>
      </c>
      <c r="U78" s="53" t="s">
        <v>1056</v>
      </c>
      <c r="V78" s="20">
        <f>IF(I78 &lt;&gt; "", VLOOKUP(I78, City!$A$1:$B$2, 2, FALSE), "" )</f>
        <v>79</v>
      </c>
      <c r="W78" s="20">
        <f>IF(J78 &lt;&gt; "", VLOOKUP(J78, District!$A$1:$B$25, 2, FALSE), "")</f>
        <v>777</v>
      </c>
      <c r="X78" s="21">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27454</v>
      </c>
      <c r="Y78" s="20">
        <f>IF(B78 &lt;&gt; "", VLOOKUP(B78, HospitalType!$A$2:$B$9, 2, FALSE), "")</f>
        <v>5</v>
      </c>
    </row>
    <row r="79" spans="1:25" ht="75" x14ac:dyDescent="0.25">
      <c r="A79" s="55" t="s">
        <v>1115</v>
      </c>
      <c r="B79" s="50" t="s">
        <v>317</v>
      </c>
      <c r="C79" s="50" t="s">
        <v>1048</v>
      </c>
      <c r="D79" s="50" t="s">
        <v>1048</v>
      </c>
      <c r="E79" s="50" t="b">
        <v>0</v>
      </c>
      <c r="F79" s="50"/>
      <c r="G79" s="51" t="s">
        <v>1116</v>
      </c>
      <c r="H79" s="51" t="s">
        <v>1117</v>
      </c>
      <c r="I79" s="51" t="s">
        <v>12</v>
      </c>
      <c r="J79" s="51" t="s">
        <v>340</v>
      </c>
      <c r="K79" s="51" t="s">
        <v>377</v>
      </c>
      <c r="L79" s="51" t="s">
        <v>1118</v>
      </c>
      <c r="M79" s="51" t="s">
        <v>1119</v>
      </c>
      <c r="N79" s="51"/>
      <c r="O79" s="51" t="s">
        <v>1120</v>
      </c>
      <c r="P79" s="51"/>
      <c r="Q79" s="50"/>
      <c r="R79" s="52" t="s">
        <v>1054</v>
      </c>
      <c r="S79" s="52" t="s">
        <v>1055</v>
      </c>
      <c r="T79" s="52" t="s">
        <v>981</v>
      </c>
      <c r="U79" s="53" t="s">
        <v>1056</v>
      </c>
      <c r="V79" s="20">
        <f>IF(I79 &lt;&gt; "", VLOOKUP(I79, City!$A$1:$B$2, 2, FALSE), "" )</f>
        <v>79</v>
      </c>
      <c r="W79" s="20">
        <f>IF(J79 &lt;&gt; "", VLOOKUP(J79, District!$A$1:$B$25, 2, FALSE), "")</f>
        <v>765</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26908</v>
      </c>
      <c r="Y79" s="20">
        <f>IF(B79 &lt;&gt; "", VLOOKUP(B79, HospitalType!$A$2:$B$9, 2, FALSE), "")</f>
        <v>5</v>
      </c>
    </row>
    <row r="80" spans="1:25" ht="75" x14ac:dyDescent="0.25">
      <c r="A80" s="55" t="s">
        <v>1121</v>
      </c>
      <c r="B80" s="50" t="s">
        <v>317</v>
      </c>
      <c r="C80" s="50" t="s">
        <v>1122</v>
      </c>
      <c r="D80" s="50" t="s">
        <v>1048</v>
      </c>
      <c r="E80" s="50" t="b">
        <v>0</v>
      </c>
      <c r="F80" s="50"/>
      <c r="G80" s="51"/>
      <c r="H80" s="51" t="s">
        <v>1123</v>
      </c>
      <c r="I80" s="51" t="s">
        <v>12</v>
      </c>
      <c r="J80" s="51" t="s">
        <v>421</v>
      </c>
      <c r="K80" s="51" t="s">
        <v>457</v>
      </c>
      <c r="L80" s="51" t="s">
        <v>1124</v>
      </c>
      <c r="M80" s="51"/>
      <c r="N80" s="51"/>
      <c r="O80" s="51" t="s">
        <v>1124</v>
      </c>
      <c r="P80" s="51"/>
      <c r="Q80" s="50"/>
      <c r="R80" s="52" t="s">
        <v>1054</v>
      </c>
      <c r="S80" s="52" t="s">
        <v>1055</v>
      </c>
      <c r="T80" s="52" t="s">
        <v>707</v>
      </c>
      <c r="U80" s="53" t="s">
        <v>1056</v>
      </c>
      <c r="V80" s="20">
        <f>IF(I80 &lt;&gt; "", VLOOKUP(I80, City!$A$1:$B$2, 2, FALSE), "" )</f>
        <v>79</v>
      </c>
      <c r="W80" s="20">
        <f>IF(J80 &lt;&gt; "", VLOOKUP(J80, District!$A$1:$B$25, 2, FALSE), "")</f>
        <v>787</v>
      </c>
      <c r="X80" s="21">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27664</v>
      </c>
      <c r="Y80" s="20">
        <f>IF(B80 &lt;&gt; "", VLOOKUP(B80, HospitalType!$A$2:$B$9, 2, FALSE), "")</f>
        <v>5</v>
      </c>
    </row>
    <row r="81" spans="1:25" ht="75" x14ac:dyDescent="0.25">
      <c r="A81" s="55" t="s">
        <v>1125</v>
      </c>
      <c r="B81" s="50" t="s">
        <v>317</v>
      </c>
      <c r="C81" s="50" t="s">
        <v>1122</v>
      </c>
      <c r="D81" s="50" t="s">
        <v>1048</v>
      </c>
      <c r="E81" s="50" t="b">
        <v>0</v>
      </c>
      <c r="F81" s="50"/>
      <c r="G81" s="51" t="s">
        <v>1126</v>
      </c>
      <c r="H81" s="51" t="s">
        <v>1127</v>
      </c>
      <c r="I81" s="51" t="s">
        <v>12</v>
      </c>
      <c r="J81" s="51" t="s">
        <v>417</v>
      </c>
      <c r="K81" s="51" t="s">
        <v>465</v>
      </c>
      <c r="L81" s="51" t="s">
        <v>1128</v>
      </c>
      <c r="M81" s="51"/>
      <c r="N81" s="51"/>
      <c r="O81" s="51"/>
      <c r="P81" s="51"/>
      <c r="Q81" s="50"/>
      <c r="R81" s="52" t="s">
        <v>1054</v>
      </c>
      <c r="S81" s="52" t="s">
        <v>1055</v>
      </c>
      <c r="T81" s="52" t="s">
        <v>981</v>
      </c>
      <c r="U81" s="53" t="s">
        <v>1056</v>
      </c>
      <c r="V81" s="20">
        <f>IF(I81 &lt;&gt; "", VLOOKUP(I81, City!$A$1:$B$2, 2, FALSE), "" )</f>
        <v>79</v>
      </c>
      <c r="W81" s="20">
        <f>IF(J81 &lt;&gt; "", VLOOKUP(J81, District!$A$1:$B$25, 2, FALSE), "")</f>
        <v>783</v>
      </c>
      <c r="X81" s="21">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27508</v>
      </c>
      <c r="Y81" s="20">
        <f>IF(B81 &lt;&gt; "", VLOOKUP(B81, HospitalType!$A$2:$B$9, 2, FALSE), "")</f>
        <v>5</v>
      </c>
    </row>
    <row r="82" spans="1:25" ht="75" x14ac:dyDescent="0.25">
      <c r="A82" s="55" t="s">
        <v>1129</v>
      </c>
      <c r="B82" s="50" t="s">
        <v>317</v>
      </c>
      <c r="C82" s="50" t="s">
        <v>948</v>
      </c>
      <c r="D82" s="50" t="s">
        <v>1048</v>
      </c>
      <c r="E82" s="50" t="b">
        <v>0</v>
      </c>
      <c r="F82" s="50"/>
      <c r="G82" s="51" t="s">
        <v>1130</v>
      </c>
      <c r="H82" s="51" t="s">
        <v>1131</v>
      </c>
      <c r="I82" s="51" t="s">
        <v>12</v>
      </c>
      <c r="J82" s="51" t="s">
        <v>341</v>
      </c>
      <c r="K82" s="51" t="s">
        <v>381</v>
      </c>
      <c r="L82" s="51" t="s">
        <v>1132</v>
      </c>
      <c r="M82" s="51"/>
      <c r="N82" s="51"/>
      <c r="O82" s="51"/>
      <c r="P82" s="51"/>
      <c r="Q82" s="50"/>
      <c r="R82" s="52" t="s">
        <v>1054</v>
      </c>
      <c r="S82" s="52" t="s">
        <v>1055</v>
      </c>
      <c r="T82" s="52" t="s">
        <v>981</v>
      </c>
      <c r="U82" s="53" t="s">
        <v>1062</v>
      </c>
      <c r="V82" s="20">
        <f>IF(I82 &lt;&gt; "", VLOOKUP(I82, City!$A$1:$B$2, 2, FALSE), "" )</f>
        <v>79</v>
      </c>
      <c r="W82" s="20">
        <f>IF(J82 &lt;&gt; "", VLOOKUP(J82, District!$A$1:$B$25, 2, FALSE), "")</f>
        <v>764</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26869</v>
      </c>
      <c r="Y82" s="20">
        <f>IF(B82 &lt;&gt; "", VLOOKUP(B82, HospitalType!$A$2:$B$9, 2, FALSE), "")</f>
        <v>5</v>
      </c>
    </row>
    <row r="83" spans="1:25" ht="75" x14ac:dyDescent="0.25">
      <c r="A83" s="55" t="s">
        <v>1133</v>
      </c>
      <c r="B83" s="50" t="s">
        <v>317</v>
      </c>
      <c r="C83" s="50" t="s">
        <v>1122</v>
      </c>
      <c r="D83" s="50" t="s">
        <v>1048</v>
      </c>
      <c r="E83" s="50" t="b">
        <v>0</v>
      </c>
      <c r="F83" s="50"/>
      <c r="G83" s="51" t="s">
        <v>1134</v>
      </c>
      <c r="H83" s="51" t="s">
        <v>1135</v>
      </c>
      <c r="I83" s="51" t="s">
        <v>12</v>
      </c>
      <c r="J83" s="51" t="s">
        <v>418</v>
      </c>
      <c r="K83" s="51" t="s">
        <v>488</v>
      </c>
      <c r="L83" s="51" t="s">
        <v>1136</v>
      </c>
      <c r="M83" s="51"/>
      <c r="N83" s="51"/>
      <c r="O83" s="51"/>
      <c r="P83" s="51"/>
      <c r="Q83" s="50"/>
      <c r="R83" s="52" t="s">
        <v>1054</v>
      </c>
      <c r="S83" s="52" t="s">
        <v>1055</v>
      </c>
      <c r="T83" s="52" t="s">
        <v>707</v>
      </c>
      <c r="U83" s="53" t="s">
        <v>1056</v>
      </c>
      <c r="V83" s="20">
        <f>IF(I83 &lt;&gt; "", VLOOKUP(I83, City!$A$1:$B$2, 2, FALSE), "" )</f>
        <v>79</v>
      </c>
      <c r="W83" s="20">
        <f>IF(J83 &lt;&gt; "", VLOOKUP(J83, District!$A$1:$B$25, 2, FALSE), "")</f>
        <v>784</v>
      </c>
      <c r="X83" s="21">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27559</v>
      </c>
      <c r="Y83" s="20">
        <f>IF(B83 &lt;&gt; "", VLOOKUP(B83, HospitalType!$A$2:$B$9, 2, FALSE), "")</f>
        <v>5</v>
      </c>
    </row>
    <row r="84" spans="1:25" ht="75" x14ac:dyDescent="0.25">
      <c r="A84" s="55" t="s">
        <v>420</v>
      </c>
      <c r="B84" s="50" t="s">
        <v>317</v>
      </c>
      <c r="C84" s="50" t="s">
        <v>1122</v>
      </c>
      <c r="D84" s="50" t="s">
        <v>1048</v>
      </c>
      <c r="E84" s="50" t="b">
        <v>0</v>
      </c>
      <c r="F84" s="50"/>
      <c r="G84" s="51" t="s">
        <v>1137</v>
      </c>
      <c r="H84" s="51" t="s">
        <v>1138</v>
      </c>
      <c r="I84" s="51" t="s">
        <v>12</v>
      </c>
      <c r="J84" s="51" t="s">
        <v>420</v>
      </c>
      <c r="K84" s="51" t="s">
        <v>505</v>
      </c>
      <c r="L84" s="51" t="s">
        <v>1139</v>
      </c>
      <c r="M84" s="51" t="s">
        <v>1140</v>
      </c>
      <c r="N84" s="51"/>
      <c r="O84" s="51" t="s">
        <v>1141</v>
      </c>
      <c r="P84" s="51"/>
      <c r="Q84" s="50"/>
      <c r="R84" s="52" t="s">
        <v>1054</v>
      </c>
      <c r="S84" s="52" t="s">
        <v>1055</v>
      </c>
      <c r="T84" s="52" t="s">
        <v>707</v>
      </c>
      <c r="U84" s="53" t="s">
        <v>1056</v>
      </c>
      <c r="V84" s="20">
        <f>IF(I84 &lt;&gt; "", VLOOKUP(I84, City!$A$1:$B$2, 2, FALSE), "" )</f>
        <v>79</v>
      </c>
      <c r="W84" s="20">
        <f>IF(J84 &lt;&gt; "", VLOOKUP(J84, District!$A$1:$B$25, 2, FALSE), "")</f>
        <v>786</v>
      </c>
      <c r="X84" s="21">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27646</v>
      </c>
      <c r="Y84" s="20">
        <f>IF(B84 &lt;&gt; "", VLOOKUP(B84, HospitalType!$A$2:$B$9, 2, FALSE), "")</f>
        <v>5</v>
      </c>
    </row>
    <row r="85" spans="1:25" ht="75" x14ac:dyDescent="0.25">
      <c r="A85" s="55" t="s">
        <v>1142</v>
      </c>
      <c r="B85" s="50" t="s">
        <v>317</v>
      </c>
      <c r="C85" s="50" t="s">
        <v>1048</v>
      </c>
      <c r="D85" s="50" t="s">
        <v>1048</v>
      </c>
      <c r="E85" s="50" t="b">
        <v>0</v>
      </c>
      <c r="F85" s="50"/>
      <c r="G85" s="51" t="s">
        <v>1143</v>
      </c>
      <c r="H85" s="51" t="s">
        <v>1144</v>
      </c>
      <c r="I85" s="51" t="s">
        <v>12</v>
      </c>
      <c r="J85" s="51" t="s">
        <v>342</v>
      </c>
      <c r="K85" s="51" t="s">
        <v>374</v>
      </c>
      <c r="L85" s="51" t="s">
        <v>1145</v>
      </c>
      <c r="M85" s="51"/>
      <c r="N85" s="51"/>
      <c r="O85" s="51"/>
      <c r="P85" s="51"/>
      <c r="Q85" s="50"/>
      <c r="R85" s="52" t="s">
        <v>1054</v>
      </c>
      <c r="S85" s="52" t="s">
        <v>1055</v>
      </c>
      <c r="T85" s="52" t="s">
        <v>707</v>
      </c>
      <c r="U85" s="53" t="s">
        <v>1056</v>
      </c>
      <c r="V85" s="20">
        <f>IF(I85 &lt;&gt; "", VLOOKUP(I85, City!$A$1:$B$2, 2, FALSE), "" )</f>
        <v>79</v>
      </c>
      <c r="W85" s="20">
        <f>IF(J85 &lt;&gt; "", VLOOKUP(J85, District!$A$1:$B$25, 2, FALSE), "")</f>
        <v>768</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27064</v>
      </c>
      <c r="Y85" s="20">
        <f>IF(B85 &lt;&gt; "", VLOOKUP(B85, HospitalType!$A$2:$B$9, 2, FALSE), "")</f>
        <v>5</v>
      </c>
    </row>
    <row r="86" spans="1:25" ht="75" x14ac:dyDescent="0.25">
      <c r="A86" s="55" t="s">
        <v>1146</v>
      </c>
      <c r="B86" s="50" t="s">
        <v>317</v>
      </c>
      <c r="C86" s="50" t="s">
        <v>1048</v>
      </c>
      <c r="D86" s="50" t="s">
        <v>1048</v>
      </c>
      <c r="E86" s="50" t="b">
        <v>0</v>
      </c>
      <c r="F86" s="50"/>
      <c r="G86" s="51" t="s">
        <v>1147</v>
      </c>
      <c r="H86" s="51" t="s">
        <v>1148</v>
      </c>
      <c r="I86" s="51" t="s">
        <v>12</v>
      </c>
      <c r="J86" s="51" t="s">
        <v>343</v>
      </c>
      <c r="K86" s="51" t="s">
        <v>370</v>
      </c>
      <c r="L86" s="51"/>
      <c r="M86" s="51"/>
      <c r="N86" s="51"/>
      <c r="O86" s="51"/>
      <c r="P86" s="51"/>
      <c r="Q86" s="50"/>
      <c r="R86" s="52" t="s">
        <v>1054</v>
      </c>
      <c r="S86" s="52" t="s">
        <v>1055</v>
      </c>
      <c r="T86" s="52" t="s">
        <v>708</v>
      </c>
      <c r="U86" s="53" t="s">
        <v>1056</v>
      </c>
      <c r="V86" s="20">
        <f>IF(I86 &lt;&gt; "", VLOOKUP(I86, City!$A$1:$B$2, 2, FALSE), "" )</f>
        <v>79</v>
      </c>
      <c r="W86" s="20">
        <f>IF(J86 &lt;&gt; "", VLOOKUP(J86, District!$A$1:$B$25, 2, FALSE), "")</f>
        <v>766</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26968</v>
      </c>
      <c r="Y86" s="20">
        <f>IF(B86 &lt;&gt; "", VLOOKUP(B86, HospitalType!$A$2:$B$9, 2, FALSE), "")</f>
        <v>5</v>
      </c>
    </row>
    <row r="87" spans="1:25" ht="75" x14ac:dyDescent="0.25">
      <c r="A87" s="55" t="s">
        <v>1149</v>
      </c>
      <c r="B87" s="50" t="s">
        <v>317</v>
      </c>
      <c r="C87" s="50" t="s">
        <v>948</v>
      </c>
      <c r="D87" s="50" t="s">
        <v>1048</v>
      </c>
      <c r="E87" s="50" t="b">
        <v>0</v>
      </c>
      <c r="F87" s="50"/>
      <c r="G87" s="51" t="s">
        <v>1150</v>
      </c>
      <c r="H87" s="51" t="s">
        <v>1151</v>
      </c>
      <c r="I87" s="51" t="s">
        <v>12</v>
      </c>
      <c r="J87" s="51" t="s">
        <v>344</v>
      </c>
      <c r="K87" s="51" t="s">
        <v>507</v>
      </c>
      <c r="L87" s="51" t="s">
        <v>1152</v>
      </c>
      <c r="M87" s="51" t="s">
        <v>1153</v>
      </c>
      <c r="N87" s="51"/>
      <c r="O87" s="51" t="s">
        <v>1154</v>
      </c>
      <c r="P87" s="51"/>
      <c r="Q87" s="50"/>
      <c r="R87" s="52" t="s">
        <v>1054</v>
      </c>
      <c r="S87" s="52" t="s">
        <v>1055</v>
      </c>
      <c r="T87" s="52" t="s">
        <v>707</v>
      </c>
      <c r="U87" s="53" t="s">
        <v>1056</v>
      </c>
      <c r="V87" s="20">
        <f>IF(I87 &lt;&gt; "", VLOOKUP(I87, City!$A$1:$B$2, 2, FALSE), "" )</f>
        <v>79</v>
      </c>
      <c r="W87" s="20">
        <f>IF(J87 &lt;&gt; "", VLOOKUP(J87, District!$A$1:$B$25, 2, FALSE), "")</f>
        <v>767</v>
      </c>
      <c r="X87" s="21">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27037</v>
      </c>
      <c r="Y87" s="20">
        <f>IF(B87 &lt;&gt; "", VLOOKUP(B87, HospitalType!$A$2:$B$9, 2, FALSE), "")</f>
        <v>5</v>
      </c>
    </row>
    <row r="88" spans="1:25" ht="75" x14ac:dyDescent="0.25">
      <c r="A88" s="55" t="s">
        <v>1155</v>
      </c>
      <c r="B88" s="50" t="s">
        <v>317</v>
      </c>
      <c r="C88" s="50" t="s">
        <v>948</v>
      </c>
      <c r="D88" s="50" t="s">
        <v>1048</v>
      </c>
      <c r="E88" s="50" t="b">
        <v>0</v>
      </c>
      <c r="F88" s="50"/>
      <c r="G88" s="51" t="s">
        <v>1156</v>
      </c>
      <c r="H88" s="51" t="s">
        <v>1157</v>
      </c>
      <c r="I88" s="51" t="s">
        <v>12</v>
      </c>
      <c r="J88" s="51" t="s">
        <v>345</v>
      </c>
      <c r="K88" s="51" t="s">
        <v>525</v>
      </c>
      <c r="L88" s="51" t="s">
        <v>1158</v>
      </c>
      <c r="M88" s="51"/>
      <c r="N88" s="51"/>
      <c r="O88" s="51" t="s">
        <v>1159</v>
      </c>
      <c r="P88" s="51"/>
      <c r="Q88" s="50"/>
      <c r="R88" s="52" t="s">
        <v>1054</v>
      </c>
      <c r="S88" s="52" t="s">
        <v>1055</v>
      </c>
      <c r="T88" s="52" t="s">
        <v>981</v>
      </c>
      <c r="U88" s="53" t="s">
        <v>1056</v>
      </c>
      <c r="V88" s="20">
        <f>IF(I88 &lt;&gt; "", VLOOKUP(I88, City!$A$1:$B$2, 2, FALSE), "" )</f>
        <v>79</v>
      </c>
      <c r="W88" s="20">
        <f>IF(J88 &lt;&gt; "", VLOOKUP(J88, District!$A$1:$B$25, 2, FALSE), "")</f>
        <v>762</v>
      </c>
      <c r="X88" s="21">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26800</v>
      </c>
      <c r="Y88" s="20">
        <f>IF(B88 &lt;&gt; "", VLOOKUP(B88, HospitalType!$A$2:$B$9, 2, FALSE), "")</f>
        <v>5</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T59:T64">
      <formula1>ServiceList</formula1>
    </dataValidation>
    <dataValidation type="list" allowBlank="1" showInputMessage="1" showErrorMessage="1" sqref="T2:T58 T65: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hyperlinks>
    <hyperlink ref="Q22" r:id="rId1"/>
    <hyperlink ref="Q23" r:id="rId2"/>
    <hyperlink ref="P24" r:id="rId3"/>
    <hyperlink ref="Q24" r:id="rId4"/>
    <hyperlink ref="Q25" r:id="rId5"/>
    <hyperlink ref="P27" r:id="rId6"/>
    <hyperlink ref="Q27" r:id="rId7"/>
    <hyperlink ref="Q30" r:id="rId8"/>
    <hyperlink ref="Q31" r:id="rId9"/>
    <hyperlink ref="Q32" r:id="rId10"/>
    <hyperlink ref="Q33" r:id="rId11"/>
    <hyperlink ref="Q34" r:id="rId12"/>
  </hyperlink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2014-08-20T17:38:22Z</dcterms:modified>
</cp:coreProperties>
</file>