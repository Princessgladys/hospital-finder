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Document\FU\Capstone Project\HospitalF\Source Code\"/>
    </mc:Choice>
  </mc:AlternateContent>
  <bookViews>
    <workbookView xWindow="0" yWindow="0" windowWidth="20490" windowHeight="7755"/>
  </bookViews>
  <sheets>
    <sheet name="Template" sheetId="1" r:id="rId1"/>
    <sheet name="City" sheetId="2" r:id="rId2"/>
    <sheet name="District" sheetId="3" r:id="rId3"/>
    <sheet name="Ward" sheetId="4" r:id="rId4"/>
    <sheet name="Speciality" sheetId="5" r:id="rId5"/>
    <sheet name="Service" sheetId="6" r:id="rId6"/>
    <sheet name="Facility" sheetId="7" r:id="rId7"/>
    <sheet name="HospitalType" sheetId="8" r:id="rId8"/>
  </sheets>
  <definedNames>
    <definedName name="_xlnm._FilterDatabase" localSheetId="1" hidden="1">City!$A$1:$A$2</definedName>
    <definedName name="_xlnm._FilterDatabase" localSheetId="2" hidden="1">District!$A$1:$A$25</definedName>
    <definedName name="_xlnm._FilterDatabase" localSheetId="6" hidden="1">Facility!$A$1:$B$23</definedName>
    <definedName name="_xlnm._FilterDatabase" localSheetId="7" hidden="1">HospitalType!$A$1:$B$9</definedName>
    <definedName name="_xlnm._FilterDatabase" localSheetId="5" hidden="1">Service!$A$1:$B$33</definedName>
    <definedName name="_xlnm._FilterDatabase" localSheetId="4" hidden="1">Speciality!$A$1:$B$53</definedName>
    <definedName name="_xlnm._FilterDatabase" localSheetId="3" hidden="1">Ward!$A$1:$AU$22</definedName>
    <definedName name="CityList">City!$A$2</definedName>
    <definedName name="FacilityList">Facility!$A$2:$A$23</definedName>
    <definedName name="Hồ_Chí_Minh_List">District!$A$2:$A$25</definedName>
    <definedName name="HospitalTypeList">HospitalType!$A$2:$A$9</definedName>
    <definedName name="ServiceList">Service!$A$2:$A$33</definedName>
    <definedName name="SG_Huyện_Bình_Chánh_List">Ward!$Y$2:$Y$17</definedName>
    <definedName name="SG_Huyện_Cần_Giờ_List">Ward!$AE$2:$AE$8</definedName>
    <definedName name="SG_Huyện_Củ_Chi_List">Ward!$AG$2:$AG$22</definedName>
    <definedName name="SG_Huyện_Hóc_Môn_List">Ward!$AK$2:$AK$13</definedName>
    <definedName name="SG_Huyện_Nhà_Bè_List">Ward!$AM$2:$AM$8</definedName>
    <definedName name="SG_Quận_1_List">Ward!$A$2:$A$11</definedName>
    <definedName name="SG_Quận_10_List">Ward!$S$2:$S$16</definedName>
    <definedName name="SG_Quận_11_List">Ward!$U$2:$U$17</definedName>
    <definedName name="SG_Quận_12_List">Ward!$W$2:$W$12</definedName>
    <definedName name="SG_Quận_2_List">Ward!$C$2:$C$12</definedName>
    <definedName name="SG_Quận_3_List">Ward!$E$2:$E$15</definedName>
    <definedName name="SG_Quận_4_List">Ward!$G$2:$G$16</definedName>
    <definedName name="SG_Quận_5_List">Ward!$I$2:$I$16</definedName>
    <definedName name="SG_Quận_6_List">Ward!$K$2:$K$15</definedName>
    <definedName name="SG_Quận_7_List">Ward!$M$2:$M$11</definedName>
    <definedName name="SG_Quận_8_List">Ward!$O$2:$O$17</definedName>
    <definedName name="SG_Quận_9_List">Ward!$Q$2:$Q$14</definedName>
    <definedName name="SG_Quận_Bình_Tân_List">Ward!$AA$2:$AA$11</definedName>
    <definedName name="SG_Quận_Bình_Thạnh_List">Ward!$AC$2:$AC$21</definedName>
    <definedName name="SG_Quận_Gò_Vấp_List">Ward!$AI$2:$AI$17</definedName>
    <definedName name="SG_Quận_Phú_Nhuận_List">Ward!$AO$2:$AO$15</definedName>
    <definedName name="SG_Quận_Tân_Bình_List">Ward!$AQ$2:$AQ$16</definedName>
    <definedName name="SG_Quận_Tân_Phú_List">Ward!$AS$2:$AS$12</definedName>
    <definedName name="SG_Quận_Thủ_Đức_List">Ward!$AU$2:$AU$13</definedName>
    <definedName name="SpecialityList">Speciality!$A$2:$A$53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1" l="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 i="1"/>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 i="1"/>
  <c r="W3" i="1" l="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 i="1"/>
</calcChain>
</file>

<file path=xl/sharedStrings.xml><?xml version="1.0" encoding="utf-8"?>
<sst xmlns="http://schemas.openxmlformats.org/spreadsheetml/2006/main" count="984" uniqueCount="700">
  <si>
    <t>Tên bệnh viện</t>
  </si>
  <si>
    <t>Loại bệnh viện</t>
  </si>
  <si>
    <t>Giờ khám ngày thường</t>
  </si>
  <si>
    <t>Giờ khám ngày lễ và cuối tuần</t>
  </si>
  <si>
    <t>Đăng ký khám trực tuyến</t>
  </si>
  <si>
    <t>Thời gian khám trung bình</t>
  </si>
  <si>
    <t>Số địa chỉ</t>
  </si>
  <si>
    <t>Tên đường</t>
  </si>
  <si>
    <t>Tỉnh / Thành phố</t>
  </si>
  <si>
    <t>Quận / Huyện / Thị xã</t>
  </si>
  <si>
    <t>Phường / Xã</t>
  </si>
  <si>
    <t>Thành phố</t>
  </si>
  <si>
    <t>Hồ Chí Minh</t>
  </si>
  <si>
    <t>10</t>
  </si>
  <si>
    <t>2</t>
  </si>
  <si>
    <t>3</t>
  </si>
  <si>
    <t>Bình Chánh</t>
  </si>
  <si>
    <t>Bình Tân</t>
  </si>
  <si>
    <t>Bình Thạnh</t>
  </si>
  <si>
    <t>Cần Giờ</t>
  </si>
  <si>
    <t>Củ Chi</t>
  </si>
  <si>
    <t>Gò Vấp</t>
  </si>
  <si>
    <t>Hóc Môn</t>
  </si>
  <si>
    <t>Nhà Bè</t>
  </si>
  <si>
    <t>Phú Nhuận</t>
  </si>
  <si>
    <t>Tân Bình</t>
  </si>
  <si>
    <t>Tân Phú</t>
  </si>
  <si>
    <t>Thủ Đức</t>
  </si>
  <si>
    <t>Số điện thoại chính</t>
  </si>
  <si>
    <t>Số điện thoại thay thế</t>
  </si>
  <si>
    <t>Số di động</t>
  </si>
  <si>
    <t>Số fax</t>
  </si>
  <si>
    <t>Chuyên Khoa</t>
  </si>
  <si>
    <t>Bệnh thường gặp</t>
  </si>
  <si>
    <t>Bệnh tình dục</t>
  </si>
  <si>
    <t>Bệnh truyền nhiễm</t>
  </si>
  <si>
    <t>Cấp cứu</t>
  </si>
  <si>
    <t>Chấn thương chỉnh hình</t>
  </si>
  <si>
    <t>Chuẩn đoán hình ảnh</t>
  </si>
  <si>
    <t>Da liễu</t>
  </si>
  <si>
    <t>Di truyền</t>
  </si>
  <si>
    <t>Điều dưỡng</t>
  </si>
  <si>
    <t>Dinh dưỡng</t>
  </si>
  <si>
    <t>Dược</t>
  </si>
  <si>
    <t>Gây mê</t>
  </si>
  <si>
    <t>Hô hấp</t>
  </si>
  <si>
    <t>Hóa sinh</t>
  </si>
  <si>
    <t>Hồi sức</t>
  </si>
  <si>
    <t>Huyết học</t>
  </si>
  <si>
    <t>Nam khoa</t>
  </si>
  <si>
    <t>Ngoại hô hấp</t>
  </si>
  <si>
    <t>Ngoại tổng hợp</t>
  </si>
  <si>
    <t>Ngoại tổng quát</t>
  </si>
  <si>
    <t>Nha khoa</t>
  </si>
  <si>
    <t>Nhi khoa</t>
  </si>
  <si>
    <t>Nội soi</t>
  </si>
  <si>
    <t>Nội tiết</t>
  </si>
  <si>
    <t>Nội tiết và đường máu</t>
  </si>
  <si>
    <t>Nội tim mạch</t>
  </si>
  <si>
    <t>Nội tổng hợp</t>
  </si>
  <si>
    <t>Nội tổng quát</t>
  </si>
  <si>
    <t>Mắt</t>
  </si>
  <si>
    <t>Phẫu thuật thẩm mỹ</t>
  </si>
  <si>
    <t>Phẫu thuật</t>
  </si>
  <si>
    <t>Phục hồi chức năng</t>
  </si>
  <si>
    <t>Răng - Hàm - Mặt</t>
  </si>
  <si>
    <t>Sản khoa - Phụ khoa</t>
  </si>
  <si>
    <t>Sinh hóa</t>
  </si>
  <si>
    <t>Sinh lý sinh sản</t>
  </si>
  <si>
    <t>Tai - Mũi - Họng</t>
  </si>
  <si>
    <t>Thần kinh</t>
  </si>
  <si>
    <t>Thận nội tiết</t>
  </si>
  <si>
    <t>Thận tiết niệu</t>
  </si>
  <si>
    <t>Tiết niệu</t>
  </si>
  <si>
    <t>Tiêu hóa - Gan - Mật</t>
  </si>
  <si>
    <t>Tim mạch</t>
  </si>
  <si>
    <t>Tư vấn tâm lý - Tâm thần</t>
  </si>
  <si>
    <t>Ung bướu</t>
  </si>
  <si>
    <t>Vật lý trị liệu</t>
  </si>
  <si>
    <t>Vi sinh</t>
  </si>
  <si>
    <t>Xét nghiệm</t>
  </si>
  <si>
    <t>Xương khớp</t>
  </si>
  <si>
    <t>Y học cổ truyền</t>
  </si>
  <si>
    <t>Y học hạt nhân</t>
  </si>
  <si>
    <t>Y học thể thao</t>
  </si>
  <si>
    <t>Value</t>
  </si>
  <si>
    <t>27160</t>
  </si>
  <si>
    <t>27157</t>
  </si>
  <si>
    <t>27154</t>
  </si>
  <si>
    <t>27148</t>
  </si>
  <si>
    <t>27151</t>
  </si>
  <si>
    <t>27139</t>
  </si>
  <si>
    <t>27124</t>
  </si>
  <si>
    <t>27121</t>
  </si>
  <si>
    <t>27142</t>
  </si>
  <si>
    <t>27145</t>
  </si>
  <si>
    <t>27133</t>
  </si>
  <si>
    <t>27130</t>
  </si>
  <si>
    <t>27136</t>
  </si>
  <si>
    <t>27127</t>
  </si>
  <si>
    <t>27298</t>
  </si>
  <si>
    <t>27292</t>
  </si>
  <si>
    <t>27286</t>
  </si>
  <si>
    <t>27283</t>
  </si>
  <si>
    <t>27274</t>
  </si>
  <si>
    <t>27265</t>
  </si>
  <si>
    <t>27268</t>
  </si>
  <si>
    <t>27262</t>
  </si>
  <si>
    <t>27271</t>
  </si>
  <si>
    <t>27256</t>
  </si>
  <si>
    <t>27259</t>
  </si>
  <si>
    <t>27280</t>
  </si>
  <si>
    <t>27295</t>
  </si>
  <si>
    <t>27289</t>
  </si>
  <si>
    <t>27277</t>
  </si>
  <si>
    <t>27325</t>
  </si>
  <si>
    <t>27313</t>
  </si>
  <si>
    <t>27307</t>
  </si>
  <si>
    <t>27301</t>
  </si>
  <si>
    <t>27334</t>
  </si>
  <si>
    <t>27337</t>
  </si>
  <si>
    <t>27322</t>
  </si>
  <si>
    <t>27316</t>
  </si>
  <si>
    <t>27304</t>
  </si>
  <si>
    <t>27340</t>
  </si>
  <si>
    <t>27328</t>
  </si>
  <si>
    <t>27310</t>
  </si>
  <si>
    <t>27343</t>
  </si>
  <si>
    <t>27331</t>
  </si>
  <si>
    <t>27319</t>
  </si>
  <si>
    <t>27370</t>
  </si>
  <si>
    <t>27367</t>
  </si>
  <si>
    <t>27379</t>
  </si>
  <si>
    <t>27373</t>
  </si>
  <si>
    <t>27361</t>
  </si>
  <si>
    <t>27355</t>
  </si>
  <si>
    <t>27382</t>
  </si>
  <si>
    <t>27376</t>
  </si>
  <si>
    <t>27352</t>
  </si>
  <si>
    <t>27385</t>
  </si>
  <si>
    <t>27364</t>
  </si>
  <si>
    <t>27358</t>
  </si>
  <si>
    <t>27349</t>
  </si>
  <si>
    <t>27346</t>
  </si>
  <si>
    <t>27394</t>
  </si>
  <si>
    <t>27391</t>
  </si>
  <si>
    <t>27397</t>
  </si>
  <si>
    <t>27409</t>
  </si>
  <si>
    <t>27418</t>
  </si>
  <si>
    <t>27424</t>
  </si>
  <si>
    <t>27433</t>
  </si>
  <si>
    <t>27388</t>
  </si>
  <si>
    <t>27403</t>
  </si>
  <si>
    <t>27406</t>
  </si>
  <si>
    <t>27400</t>
  </si>
  <si>
    <t>27415</t>
  </si>
  <si>
    <t>27412</t>
  </si>
  <si>
    <t>27421</t>
  </si>
  <si>
    <t>27427</t>
  </si>
  <si>
    <t>27430</t>
  </si>
  <si>
    <t>27184</t>
  </si>
  <si>
    <t>27190</t>
  </si>
  <si>
    <t>27205</t>
  </si>
  <si>
    <t>27193</t>
  </si>
  <si>
    <t>27199</t>
  </si>
  <si>
    <t>27202</t>
  </si>
  <si>
    <t>27196</t>
  </si>
  <si>
    <t>27187</t>
  </si>
  <si>
    <t>27181</t>
  </si>
  <si>
    <t>27178</t>
  </si>
  <si>
    <t>27175</t>
  </si>
  <si>
    <t>27172</t>
  </si>
  <si>
    <t>27166</t>
  </si>
  <si>
    <t>27169</t>
  </si>
  <si>
    <t>27163</t>
  </si>
  <si>
    <t>27247</t>
  </si>
  <si>
    <t>27250</t>
  </si>
  <si>
    <t>27220</t>
  </si>
  <si>
    <t>27244</t>
  </si>
  <si>
    <t>27211</t>
  </si>
  <si>
    <t>27241</t>
  </si>
  <si>
    <t>27238</t>
  </si>
  <si>
    <t>27229</t>
  </si>
  <si>
    <t>27232</t>
  </si>
  <si>
    <t>27223</t>
  </si>
  <si>
    <t>27217</t>
  </si>
  <si>
    <t>27235</t>
  </si>
  <si>
    <t>27226</t>
  </si>
  <si>
    <t>27214</t>
  </si>
  <si>
    <t>27208</t>
  </si>
  <si>
    <t>27253</t>
  </si>
  <si>
    <t>26944</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</si>
  <si>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</si>
  <si>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</si>
  <si>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</si>
  <si>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</si>
  <si>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</si>
  <si>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</si>
  <si>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</si>
  <si>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</si>
  <si>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</si>
  <si>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</si>
  <si>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</si>
  <si>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</si>
  <si>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</si>
  <si>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</si>
  <si>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</si>
  <si>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</si>
  <si>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</si>
  <si>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</si>
  <si>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</si>
  <si>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</si>
  <si>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26902</t>
  </si>
  <si>
    <t>26893</t>
  </si>
  <si>
    <t>26887</t>
  </si>
  <si>
    <t>26890</t>
  </si>
  <si>
    <t>26884</t>
  </si>
  <si>
    <t>26899</t>
  </si>
  <si>
    <t>26881</t>
  </si>
  <si>
    <t>26872</t>
  </si>
  <si>
    <t>26882</t>
  </si>
  <si>
    <t>26869</t>
  </si>
  <si>
    <t>26878</t>
  </si>
  <si>
    <t>26875</t>
  </si>
  <si>
    <t>26876</t>
  </si>
  <si>
    <t>26898</t>
  </si>
  <si>
    <t>26897</t>
  </si>
  <si>
    <t>27058</t>
  </si>
  <si>
    <t>27061</t>
  </si>
  <si>
    <t>27055</t>
  </si>
  <si>
    <t>27043</t>
  </si>
  <si>
    <t>27046</t>
  </si>
  <si>
    <t>27052</t>
  </si>
  <si>
    <t>27064</t>
  </si>
  <si>
    <t>27049</t>
  </si>
  <si>
    <t>27070</t>
  </si>
  <si>
    <t>27073</t>
  </si>
  <si>
    <t>27082</t>
  </si>
  <si>
    <t>27085</t>
  </si>
  <si>
    <t>27079</t>
  </si>
  <si>
    <t>27067</t>
  </si>
  <si>
    <t>27076</t>
  </si>
  <si>
    <t>26977</t>
  </si>
  <si>
    <t>26965</t>
  </si>
  <si>
    <t>26980</t>
  </si>
  <si>
    <t>26968</t>
  </si>
  <si>
    <t>26989</t>
  </si>
  <si>
    <t>26995</t>
  </si>
  <si>
    <t>26986</t>
  </si>
  <si>
    <t>26998</t>
  </si>
  <si>
    <t>27001</t>
  </si>
  <si>
    <t>26992</t>
  </si>
  <si>
    <t>26983</t>
  </si>
  <si>
    <t>26971</t>
  </si>
  <si>
    <t>26974</t>
  </si>
  <si>
    <t>27004</t>
  </si>
  <si>
    <t>27007</t>
  </si>
  <si>
    <t>Dịch vụ</t>
  </si>
  <si>
    <t>Khám bệnh bảo hiểm y tế</t>
  </si>
  <si>
    <t>Khám bệnh dịch vụ</t>
  </si>
  <si>
    <t>Khám sức khỏe tổng quát</t>
  </si>
  <si>
    <t>Cấp cứu khẩn cấp</t>
  </si>
  <si>
    <t>Tiếp nhận bệnh nhân mới</t>
  </si>
  <si>
    <t>Chấp nhận bệnh nhân chuyển lên từ tuyến dưới</t>
  </si>
  <si>
    <t>Chăm sóc thay thế cho thân nhân</t>
  </si>
  <si>
    <t>Nút bấm gọi khẩn cấp</t>
  </si>
  <si>
    <t>Bình dưỡng khí</t>
  </si>
  <si>
    <t>Cho phép thú nuôi</t>
  </si>
  <si>
    <t>Cho phép tự nấu nướng</t>
  </si>
  <si>
    <t>Bảo vệ an ninh</t>
  </si>
  <si>
    <t>Truyền thông đa phương tiện</t>
  </si>
  <si>
    <t>Dễ tiếp cận các phương tiện công cộng</t>
  </si>
  <si>
    <t>Xe đưa đón tận nhà</t>
  </si>
  <si>
    <t>Kết nối Internet</t>
  </si>
  <si>
    <t>Chăm sóc y tế tại gia</t>
  </si>
  <si>
    <t>Theo dõi từ xa qua hệ thống máy quay</t>
  </si>
  <si>
    <t>Tư vấn chế độ ăn uống</t>
  </si>
  <si>
    <t>Kiểm tra tình hình sức khỏe định kỳ</t>
  </si>
  <si>
    <t>Chăm sóc cho người già</t>
  </si>
  <si>
    <t>Chăm sóc nhà cửa và các dịch vụ liên quan</t>
  </si>
  <si>
    <t>TV riêng</t>
  </si>
  <si>
    <t>Tủ lạnh riêng</t>
  </si>
  <si>
    <t>Điều hòa</t>
  </si>
  <si>
    <t>Phòng vệ sinh riêng</t>
  </si>
  <si>
    <t>Đường dây điện thoại riêng</t>
  </si>
  <si>
    <t>Phục vụ đồ ăn sáng, trưa, tối</t>
  </si>
  <si>
    <t>Liên lạc trực tiếp với nhân viên trực</t>
  </si>
  <si>
    <t>Đặt lịch khám qua tổng đài 1080</t>
  </si>
  <si>
    <t>Đặt lịch khám qua mạng</t>
  </si>
  <si>
    <t>Cơ sở vật chất</t>
  </si>
  <si>
    <t>Bãi giữ xe đạp</t>
  </si>
  <si>
    <t>Bãi giữ xe máy</t>
  </si>
  <si>
    <t>Bãi giữ xe ô tô</t>
  </si>
  <si>
    <t>Chỗ đậu xe cho người khuyết tật</t>
  </si>
  <si>
    <t>Đường đi riêng cho người khuyết tật</t>
  </si>
  <si>
    <t>Nhà vệ sinh cho người khuyết tật</t>
  </si>
  <si>
    <t>Khu vui chơi thiếu nhi</t>
  </si>
  <si>
    <t>Thư viện tra cứu thông tin</t>
  </si>
  <si>
    <t>Quán café</t>
  </si>
  <si>
    <t>Khu ăn uống</t>
  </si>
  <si>
    <t>Khu dành riêng cho người hút thuốc</t>
  </si>
  <si>
    <t>Khu nghỉ ngơi cho người nuôi bệnh</t>
  </si>
  <si>
    <t>Khu vực cây xanh</t>
  </si>
  <si>
    <t>Khu vực rèn luyện sức khỏe</t>
  </si>
  <si>
    <t>Đặt lịch khám Onine</t>
  </si>
  <si>
    <t>Kết nối không dây</t>
  </si>
  <si>
    <t>Truy cập máy vi tính</t>
  </si>
  <si>
    <t>Điện thoại công cộng</t>
  </si>
  <si>
    <t>Tra cứu thông tin trực tuyến</t>
  </si>
  <si>
    <t>Thông báo tái khám qua tin nhắn</t>
  </si>
  <si>
    <t>Bệnh viện công</t>
  </si>
  <si>
    <t>Bệnh viện quốc tế</t>
  </si>
  <si>
    <t>Bệnh viện thẩm mỹ</t>
  </si>
  <si>
    <t>Bệnh viện thú y</t>
  </si>
  <si>
    <t>Bệnh viện tư nhân</t>
  </si>
  <si>
    <t>Nhà thuốc</t>
  </si>
  <si>
    <t>Phòng khám tư nhân</t>
  </si>
  <si>
    <t>Trung tâm y tế</t>
  </si>
  <si>
    <t>Type_ID</t>
  </si>
  <si>
    <t>City_ID</t>
  </si>
  <si>
    <t>District_ID</t>
  </si>
  <si>
    <t>Ward_ID</t>
  </si>
  <si>
    <t>Địa chỉ email</t>
  </si>
  <si>
    <t>Địa chỉ trang web</t>
  </si>
  <si>
    <t>Chuyên khoa</t>
  </si>
  <si>
    <t>Tạp hóa</t>
  </si>
  <si>
    <t>Từ khóa tìm kiếm</t>
  </si>
  <si>
    <t>Quận 1</t>
  </si>
  <si>
    <t>Quận 10</t>
  </si>
  <si>
    <t>Quận 11</t>
  </si>
  <si>
    <t>Quận 12</t>
  </si>
  <si>
    <t>Quận 2</t>
  </si>
  <si>
    <t>Quận 3</t>
  </si>
  <si>
    <t>Quận 4</t>
  </si>
  <si>
    <t>Quận 5</t>
  </si>
  <si>
    <t>Quận 6</t>
  </si>
  <si>
    <t>Quận 7</t>
  </si>
  <si>
    <t>Quận 8</t>
  </si>
  <si>
    <t>Quận 9</t>
  </si>
  <si>
    <t>Quận Bình Tân</t>
  </si>
  <si>
    <t>Quận Bình Thạnh</t>
  </si>
  <si>
    <t>Quận Gò Vấp</t>
  </si>
  <si>
    <t>Quận Phú Nhuận</t>
  </si>
  <si>
    <t>Quận Tân Bình</t>
  </si>
  <si>
    <t>Quận Tân Phú</t>
  </si>
  <si>
    <t>Quận Thủ Đức</t>
  </si>
  <si>
    <t>Phường Bến Nghé</t>
  </si>
  <si>
    <t>Phường Bến Thành</t>
  </si>
  <si>
    <t>Phường Cầu Kho</t>
  </si>
  <si>
    <t>Phường Cầu Ông Lãnh</t>
  </si>
  <si>
    <t>Phường Cô Giang</t>
  </si>
  <si>
    <t>Phường Đa Kao</t>
  </si>
  <si>
    <t>Phường Nguyễn Cư Trinh</t>
  </si>
  <si>
    <t>Phường Nguyễn Thái Bình</t>
  </si>
  <si>
    <t>Phường Phạm Ngũ Lão</t>
  </si>
  <si>
    <t>Phường Tân Định</t>
  </si>
  <si>
    <t>Phường An Khánh</t>
  </si>
  <si>
    <t>Phường An Lợi Đông</t>
  </si>
  <si>
    <t>Phường An Phú</t>
  </si>
  <si>
    <t>Phường Bình An</t>
  </si>
  <si>
    <t>Phường Bình Khánh</t>
  </si>
  <si>
    <t>Phường Bình Trưng Đông</t>
  </si>
  <si>
    <t>Phường Bình Trưng Tây</t>
  </si>
  <si>
    <t>Phường Cát Lái</t>
  </si>
  <si>
    <t>Phường Thạnh Mỹ Lợi</t>
  </si>
  <si>
    <t>Phường Thảo Điền</t>
  </si>
  <si>
    <t>Phường Thủ Thiêm</t>
  </si>
  <si>
    <t>Phường 01</t>
  </si>
  <si>
    <t>Phường 02</t>
  </si>
  <si>
    <t>Phường 03</t>
  </si>
  <si>
    <t>Phường 04</t>
  </si>
  <si>
    <t>Phường 05</t>
  </si>
  <si>
    <t>Phường 06</t>
  </si>
  <si>
    <t>Phường 07</t>
  </si>
  <si>
    <t>Phường 08</t>
  </si>
  <si>
    <t>Phường 09</t>
  </si>
  <si>
    <t>Phường 10</t>
  </si>
  <si>
    <t>Phường 11</t>
  </si>
  <si>
    <t>Phường 12</t>
  </si>
  <si>
    <t>Phường 13</t>
  </si>
  <si>
    <t>Phường 14</t>
  </si>
  <si>
    <t>Phường 15</t>
  </si>
  <si>
    <t>Phường 16</t>
  </si>
  <si>
    <t>Phường 18</t>
  </si>
  <si>
    <t>Phường Bình Thuận</t>
  </si>
  <si>
    <t>Phường Phú Mỹ</t>
  </si>
  <si>
    <t>Phường Phú Thuận</t>
  </si>
  <si>
    <t>Phường Tân Hưng</t>
  </si>
  <si>
    <t>Phường Tân Kiểng</t>
  </si>
  <si>
    <t>Phường Tân Phong</t>
  </si>
  <si>
    <t>Phường Tân Phú</t>
  </si>
  <si>
    <t>Phường Tân Quy</t>
  </si>
  <si>
    <t>Phường Tân Thuận Đông</t>
  </si>
  <si>
    <t>Phường Tân Thuận Tây</t>
  </si>
  <si>
    <t>Phường Hiệp Phú</t>
  </si>
  <si>
    <t>Phường Long Bình</t>
  </si>
  <si>
    <t>Phường Long Phước</t>
  </si>
  <si>
    <t>Phường Long Thạnh Mỹ</t>
  </si>
  <si>
    <t>Phường Long Trường</t>
  </si>
  <si>
    <t>Phường Phú Hữu</t>
  </si>
  <si>
    <t>Phường Phước Bình</t>
  </si>
  <si>
    <t>Phường Phước Long A</t>
  </si>
  <si>
    <t>Phường Phước Long B</t>
  </si>
  <si>
    <t>Phường Tăng Nhơn Phú A</t>
  </si>
  <si>
    <t>Phường Tăng Nhơn Phú B</t>
  </si>
  <si>
    <t>Phường Trường Thạnh</t>
  </si>
  <si>
    <t>Phường An Phú Đông</t>
  </si>
  <si>
    <t>Phường Đông Hưng Thuận</t>
  </si>
  <si>
    <t>Phường Hiệp Thành</t>
  </si>
  <si>
    <t>Phường Tân Chánh Hiệp</t>
  </si>
  <si>
    <t>Phường Tân Hưng Thuận</t>
  </si>
  <si>
    <t>Phường Tân Thới Hiệp</t>
  </si>
  <si>
    <t>Phường Tân Thới Nhất</t>
  </si>
  <si>
    <t>Phường Thạnh Lộc</t>
  </si>
  <si>
    <t>Phường Thạnh Xuân</t>
  </si>
  <si>
    <t>Phường Thới An</t>
  </si>
  <si>
    <t>Phường Trung Mỹ Tây</t>
  </si>
  <si>
    <t>Huyện Củ Chi</t>
  </si>
  <si>
    <t>Huyện Hóc Môn</t>
  </si>
  <si>
    <t>Huyện Bình Chánh</t>
  </si>
  <si>
    <t>Huyện Nhà Bè</t>
  </si>
  <si>
    <t>Huyện Cần Giờ</t>
  </si>
  <si>
    <t>Thị Trấn Tân Túc</t>
  </si>
  <si>
    <t>Xã An Phú Tây</t>
  </si>
  <si>
    <t>Xã Bình Chánh</t>
  </si>
  <si>
    <t>Xã Bình Hưng</t>
  </si>
  <si>
    <t>Xã Bình Lợi</t>
  </si>
  <si>
    <t>Xã Đa Phước</t>
  </si>
  <si>
    <t>Xã Hưng Long</t>
  </si>
  <si>
    <t>Xã Lê Minh Xuân</t>
  </si>
  <si>
    <t>Xã Phạm Văn Hai</t>
  </si>
  <si>
    <t>Xã Phong Phú</t>
  </si>
  <si>
    <t>Xã Quy Đức</t>
  </si>
  <si>
    <t>Xã Tân Kiên</t>
  </si>
  <si>
    <t>Xã Tân Nhựt</t>
  </si>
  <si>
    <t>Xã Tân Quý Tây</t>
  </si>
  <si>
    <t>Xã Vĩnh Lộc A</t>
  </si>
  <si>
    <t>Xã Vĩnh Lộc B</t>
  </si>
  <si>
    <t>Phường An Lạc</t>
  </si>
  <si>
    <t>Phường An Lạc A</t>
  </si>
  <si>
    <t>Phường Bình Hưng Hòa</t>
  </si>
  <si>
    <t>Phường Binh Hưng Hoà A</t>
  </si>
  <si>
    <t>Phường Binh Hưng Hoà B</t>
  </si>
  <si>
    <t>Phường Bình Trị Đông</t>
  </si>
  <si>
    <t>Phường Bình Trị Đông A</t>
  </si>
  <si>
    <t>Phường Bình Trị Đông B</t>
  </si>
  <si>
    <t>Phường Tân Tạo</t>
  </si>
  <si>
    <t>Phường Tân Tạo A</t>
  </si>
  <si>
    <t>Phường 17</t>
  </si>
  <si>
    <t>Phường 19</t>
  </si>
  <si>
    <t>Phường 21</t>
  </si>
  <si>
    <t>Phường 22</t>
  </si>
  <si>
    <t>Phường 24</t>
  </si>
  <si>
    <t>Phường 25</t>
  </si>
  <si>
    <t>Phường 26</t>
  </si>
  <si>
    <t>Phường 27</t>
  </si>
  <si>
    <t>Phường 28</t>
  </si>
  <si>
    <t>Thị Trấn Cần Thạnh</t>
  </si>
  <si>
    <t>Xã An Thới Đông</t>
  </si>
  <si>
    <t>Xã Bình Khánh</t>
  </si>
  <si>
    <t>Xã Long Hòa</t>
  </si>
  <si>
    <t>Xã Lý Nhơn</t>
  </si>
  <si>
    <t>Xã Tam Thôn Hiệp</t>
  </si>
  <si>
    <t>Xã Thạnh An</t>
  </si>
  <si>
    <t>Thị Trấn Củ Chi</t>
  </si>
  <si>
    <t>Xã An Nhơn Tây</t>
  </si>
  <si>
    <t>Xã An Phú</t>
  </si>
  <si>
    <t>Xã Bình Mỹ</t>
  </si>
  <si>
    <t>Xã Hòa Phú</t>
  </si>
  <si>
    <t>Xã Nhuận Đức</t>
  </si>
  <si>
    <t>Xã Phạm Văn Cội</t>
  </si>
  <si>
    <t>Xã Phú Hòa Đông</t>
  </si>
  <si>
    <t>Xã Phú Mỹ Hưng</t>
  </si>
  <si>
    <t>Xã Phước Hiệp</t>
  </si>
  <si>
    <t>Xã Phước Thạnh</t>
  </si>
  <si>
    <t>Xã Phước Vĩnh An</t>
  </si>
  <si>
    <t>Xã Tân An Hội</t>
  </si>
  <si>
    <t>Xã Tân Phú Trung</t>
  </si>
  <si>
    <t>Xã Tân Thạnh Đông</t>
  </si>
  <si>
    <t>Xã Tân Thạnh Tây</t>
  </si>
  <si>
    <t>Xã Tân Thông Hội</t>
  </si>
  <si>
    <t>Xã Thái Mỹ</t>
  </si>
  <si>
    <t>Xã Trung An</t>
  </si>
  <si>
    <t>Xã Trung Lập Hạ</t>
  </si>
  <si>
    <t>Xã Trung Lập Thượng</t>
  </si>
  <si>
    <t>Phường 6</t>
  </si>
  <si>
    <t>Phường 8</t>
  </si>
  <si>
    <t>Phường 9</t>
  </si>
  <si>
    <t>Thị Trấn Hóc Môn</t>
  </si>
  <si>
    <t>Xã Bà Điểm</t>
  </si>
  <si>
    <t>Xã Đông Thạnh</t>
  </si>
  <si>
    <t>Xã Nhị Bình</t>
  </si>
  <si>
    <t>Xã Tân Hiệp</t>
  </si>
  <si>
    <t>Xã Tân Thới Nhì</t>
  </si>
  <si>
    <t>Xã Tân Xuân</t>
  </si>
  <si>
    <t>Xã Thới Tam Thôn</t>
  </si>
  <si>
    <t>Xã Trung Chánh</t>
  </si>
  <si>
    <t>Xã Xuân Thới Đông</t>
  </si>
  <si>
    <t>Xã Xuân Thới Sơn</t>
  </si>
  <si>
    <t>Xã Xuân Thới Thượng</t>
  </si>
  <si>
    <t>Thị Trấn Nhà Bè</t>
  </si>
  <si>
    <t>Xã Hiệp Phước</t>
  </si>
  <si>
    <t>Xã Long Thới</t>
  </si>
  <si>
    <t>Xã Nhơn Đức</t>
  </si>
  <si>
    <t>Xã Phú Xuân</t>
  </si>
  <si>
    <t>Xã Phước Kiển</t>
  </si>
  <si>
    <t>Xã Phước Lộc</t>
  </si>
  <si>
    <t>Phường Hiệp Tân</t>
  </si>
  <si>
    <t>Phường Hoà Thạnh</t>
  </si>
  <si>
    <t>Phường Phú Thạnh</t>
  </si>
  <si>
    <t>Phường Phú Thọ Hoà</t>
  </si>
  <si>
    <t>Phường Phú Trung</t>
  </si>
  <si>
    <t>Phường Sơn Kỳ</t>
  </si>
  <si>
    <t>Phường Tân Quý</t>
  </si>
  <si>
    <t>Phường Tân Sơn Nhì</t>
  </si>
  <si>
    <t>Phường Tân Thành</t>
  </si>
  <si>
    <t>Phường Tân Thới Hoà</t>
  </si>
  <si>
    <t>Phường Tây Thạnh</t>
  </si>
  <si>
    <t>Phường Bình Chiểu</t>
  </si>
  <si>
    <t>Phường Bình Thọ</t>
  </si>
  <si>
    <t>Phường Hiệp Bình Chánh</t>
  </si>
  <si>
    <t>Phường Hiệp Bình Phước</t>
  </si>
  <si>
    <t>Phường Linh Chiểu</t>
  </si>
  <si>
    <t>Phường Linh Đông</t>
  </si>
  <si>
    <t>Phường Linh Tây</t>
  </si>
  <si>
    <t>Phường Linh Trung</t>
  </si>
  <si>
    <t>Phường Linh Xuân</t>
  </si>
  <si>
    <t>Phường Tam Bình</t>
  </si>
  <si>
    <t>Phường Tam Phú</t>
  </si>
  <si>
    <t>Phường Trường Thọ</t>
  </si>
  <si>
    <t>SOS International</t>
  </si>
  <si>
    <t>(08) 38298520</t>
  </si>
  <si>
    <t>(08) 38298551</t>
  </si>
  <si>
    <t>08:00 - 17:30</t>
  </si>
  <si>
    <t>65</t>
  </si>
  <si>
    <t>Nguyễn Du</t>
  </si>
  <si>
    <t>0902927388</t>
  </si>
  <si>
    <t>tnhan.cao@internationalsos.com</t>
  </si>
  <si>
    <t>Bãi giữ xe máy, Bãi giữ xe ô tô, Chỗ đậu xe cho người khuyết tật, Nhà vệ sinh cho người khuyết tật, Tra cứu thông tin trực tuyến, Thông báo tái khám qua tin nhắn</t>
  </si>
  <si>
    <t>34 Diamon Plaza</t>
  </si>
  <si>
    <t>Lê Duẩn</t>
  </si>
  <si>
    <t>(08) 37442000</t>
  </si>
  <si>
    <t>(08) 37446382</t>
  </si>
  <si>
    <t>(08) 38227848</t>
  </si>
  <si>
    <t>hcmc@vietnammedicalpractice.com</t>
  </si>
  <si>
    <t>d2.reception@@vietnammedicalpractice.com</t>
  </si>
  <si>
    <t>http://www.vietnammedicalpractice.com/vi</t>
  </si>
  <si>
    <t>95</t>
  </si>
  <si>
    <t>Thảo Điền</t>
  </si>
  <si>
    <t>Bệnh thường gặp, Cấp cứu, Tim mạch, Hô hấp, Nhi khoa, Hồi sức</t>
  </si>
  <si>
    <t>Bãi giữ xe máy, Bãi giữ xe ô tô, Chỗ đậu xe cho người khuyết tật, Đường đi riêng cho người khuyết tật, Nhà vệ sinh cho người khuyết tật, Khu vui chơi thiếu nhi, Khu nghỉ ngơi cho người nuôi bệnh, Tra cứu thông tin trực tuyến, Kết nối không dây</t>
  </si>
  <si>
    <t>(08) 38227859</t>
  </si>
  <si>
    <t>dịch vụ tốt, chuẩn quốc tế, cấp cứu, tim mạch, hô hấp, nhi khoa, international, emergency, high quality, good service, house call service, đa khoa, 24/7</t>
  </si>
  <si>
    <t>08:00 - 19:00</t>
  </si>
  <si>
    <t>dịch vụ tốt, chuẩn quốc tế, international, emergency, high quality, good service, cấp cứu, da liễu, tiêm chủng, huấn luyện y tế, bác sỹ gia đình, đa khoa, 24/7, doanh nghiệp, bảo hiểm, thanh toán trực tiếp, tiêm chủng, thủ tục nhanh, bảo hiểm y tế</t>
  </si>
  <si>
    <t>Bệnh viện đa khoa quốc tế Vũ Anh</t>
  </si>
  <si>
    <t>07:30 - 16:00</t>
  </si>
  <si>
    <t>15-16</t>
  </si>
  <si>
    <t>Phan Văn Trị</t>
  </si>
  <si>
    <t>(08) 39894989</t>
  </si>
  <si>
    <t>(08) 39894959</t>
  </si>
  <si>
    <t>http://www.benhvienvuanh.com.vn/</t>
  </si>
  <si>
    <t>http://www.internationalsos.com</t>
  </si>
  <si>
    <t>vuanhhospital@hotmail.com</t>
  </si>
  <si>
    <t>Khám bệnh dịch vụ, Kiểm tra tình hình sức khỏe định kỳ, Cấp cứu khẩn cấp, Xe đưa đón tận nhà, Chăm sóc y tế tại gia, Chăm sóc thay thế cho thân nhân, Chăm sóc cho người già, Tiếp nhận bệnh nhân mới</t>
  </si>
  <si>
    <t>Bãi giữ xe máy, Bãi giữ xe ô tô, Đường đi riêng cho người khuyết tật, Khu vui chơi thiếu nhi, Quán café, Khu ăn uống, Khu vực cây xanh, Truy cập máy vi tính, Điện thoại công cộng, Tra cứu thông tin trực tuyến, Kết nối không dây, Thông báo tái khám qua tin nhắn</t>
  </si>
  <si>
    <t>đa khoa, quốc tế, chuyên môn tốt, bác sỹ giỏi, hiện đại, thoáng mát, dịch vụ tốt, chuyên môn cao, tay nghề giỏi, có kinh nghiệm, chăm sóc tận tình, chi phí hợp lý, thủ tục nhanh gọn, đi lại thuận tiện, bảo vệ an ninh</t>
  </si>
  <si>
    <t>Bệnh viện Pháp Việt</t>
  </si>
  <si>
    <t>Tim mạch, Da liễu, Cấp cứu, Hồi sức, Tai - Mũi - Họng, Tiêu hóa - Gan - Mật, Nội tổng hợp, Nhi khoa, Vật lý trị liệu, Sản khoa - Phụ khoa, Mắt, Chấn thương chỉnh hình, Bệnh tình dục, Chuẩn đoán hình ảnh, Xét nghiệm, Bệnh thường gặp</t>
  </si>
  <si>
    <t>Nội tổng hợp, Ngoại tổng hợp, Sản khoa - Phụ khoa, Nhi khoa, Hồi sức, Xét nghiệm, Mắt, Vật lý trị liệu, Răng - Hàm - Mặt, Tai - Mũi - Họng, Nội tiết, Tiêu hóa - Gan - Mật, Tim mạch, Bệnh thường gặp</t>
  </si>
  <si>
    <t>6</t>
  </si>
  <si>
    <t>Nguyễn Lương Bằng</t>
  </si>
  <si>
    <t>(08) 54113500</t>
  </si>
  <si>
    <t>information@fvhospital.com</t>
  </si>
  <si>
    <t>http://www.fvhospital.com/vi</t>
  </si>
  <si>
    <t>08:00 - 18:00</t>
  </si>
  <si>
    <t>Bệnh thường gặp, Cấp cứu, Chuẩn đoán hình ảnh, Y học hạt nhân, Xét nghiệm, Dược, Tim mạch, Tiêu hóa - Gan - Mật, Gây mê, Hồi sức, Hô hấp, Nội tiết, Thần kinh, Nhi khoa, Chấn thương chỉnh hình, Phẫu thuật, Phục hồi chức năng, Sản khoa - Phụ khoa, Nha khoa, Nhi khoa, Răng - Hàm - Mặt, Tai - Mũi - Họng, Y học thể thao, Nam khoa, Tiết niệu, Vật lý trị liệu</t>
  </si>
  <si>
    <t>Đăng ký bảo hiểm y tế</t>
  </si>
  <si>
    <t>Đăng ký bảo hiểm y tế, Khám bệnh bảo hiểm y tế, Khám bệnh dịch vụ, Khám sức khỏe tổng quát, Kiểm tra tình hình sức khỏe định kỳ, Cấp cứu khẩn cấp, Chăm sóc cho người già, Chăm sóc y tế tại gia, Xe đưa đón tận nhà, TV riêng, Tủ lạnh riêng, Tư vấn chế độ ăn uống, Phòng vệ sinh riêng, Nút bấm gọi khẩn cấp, Điều hòa, Bình dưỡng khí, Tiếp nhận bệnh nhân mới</t>
  </si>
  <si>
    <t>Bảo vệ an ninh, Bình dưỡng khí, Đăng ký bảo hiểm y tế, Khám bệnh bảo hiểm y tế, Khám bệnh dịch vụ, Khám sức khỏe tổng quát, Kiểm tra tình hình sức khỏe định kỳ, Cấp cứu khẩn cấp, Nút bấm gọi khẩn cấp, TV riêng, Tủ lạnh riêng, Tiếp nhận bệnh nhân mới, Phòng vệ sinh riêng</t>
  </si>
  <si>
    <t>Đăng ký bảo hiểm y tế, Khám bệnh bảo hiểm y tế, Khám bệnh dịch vụ, Khám sức khỏe tổng quát, Kiểm tra tình hình sức khỏe định kỳ, Cấp cứu khẩn cấp, Bình dưỡng khí, TV riêng, Tủ lạnh riêng, Điều hòa, Đường dây điện thoại riêng, Nút bấm gọi khẩn cấp, Phòng vệ sinh riêng, Phục vụ đồ ăn sáng, trưa, tối, Tiếp nhận bệnh nhân mới</t>
  </si>
  <si>
    <t>Bãi giữ xe máy, Bãi giữ xe ô tô, Đường đi riêng cho người khuyết tật, Khu vực cây xanh, Khu vực rèn luyện sức khỏe, Khu vui chơi thiếu nhi, Nhà vệ sinh cho người khuyết tật, Quán café, Thư viện tra cứu thông tin, Truy cập máy vi tính, Thông báo tái khám qua tin nhắn</t>
  </si>
  <si>
    <t>đa khoa, cấp cứu, quốc tế, gần trung tâm thành phố, bác sỹ tận tâm, kinh nghiệm, đa quốc gia, cơ sở hiện đại, đảm bảo an ninh, thủ tục nhanh gọn, chi phí hợp lý, 24/7, theo dõi liên tục, khu đô thị mới, môi trường thoáng đãng, international, emerygency, high quality, thân thiện môi trường, thiếu nhi, đồ chơi, tổng đài điện hoại, công nghệ thông tin</t>
  </si>
  <si>
    <t>Phòng khám Columbia Asia</t>
  </si>
  <si>
    <t>08:00 - 17:00</t>
  </si>
  <si>
    <t>09:00 - 16:00</t>
  </si>
  <si>
    <t>8</t>
  </si>
  <si>
    <t>Alexandre De Rhodes</t>
  </si>
  <si>
    <t>(08) 38238888</t>
  </si>
  <si>
    <t>08) 38238454</t>
  </si>
  <si>
    <t>saigonclinic@colombiaasia.com</t>
  </si>
  <si>
    <t>http://www.colombiaasia.com/vietnam</t>
  </si>
  <si>
    <t>Bệnh thường gặp, Gây mê, Răng - Hàm - Mặt, Tai - Mũi - Họng, Cấp cứu, Sản khoa - Phụ khoa, Dược, Nha khoa, Vật lý trị liệu, Tiết niệu, Mắt</t>
  </si>
  <si>
    <t>Khám bệnh dịch vụ, Kiểm tra tình hình sức khỏe định kỳ, Cấp cứu khẩn cấp, Chăm sóc y tế tại gia, Chăm sóc thay thế cho thân nhân, Tiếp nhận bệnh nhân mới, Xe đưa đón tận nhà, Tư vấn chế độ ăn uống, TV riêng, Tủ lạnh riêng, Điều hòa, Phòng vệ sinh riêng</t>
  </si>
  <si>
    <t>Bãi giữ xe máy, Bãi giữ xe ô tô, Đường đi riêng cho người khuyết tật, Khu vực cây xanh, Kết nối không dây</t>
  </si>
  <si>
    <t>healthcare, dịch vụ tốt, 24/7, chăm sóc người thân, chăm sóc tại gia, phục hồi sức khỏ, bác sỹ kinh nghiệm, chuyên môn, hiện đại, kỹ thuật cao, hài lòng, tin tưởng, nhiệt huyết, tận tâm</t>
  </si>
  <si>
    <t>Bệnh viện quốc tế Columbia Asia Gia Định</t>
  </si>
  <si>
    <t>1</t>
  </si>
  <si>
    <t>Nơ Trang Long</t>
  </si>
  <si>
    <t>(08) 38030677</t>
  </si>
  <si>
    <t>(08) 38030678</t>
  </si>
  <si>
    <t>giadinhhospital@colombiaasia.com</t>
  </si>
  <si>
    <t>Phòng khám đa khoa quốc tế CMI</t>
  </si>
  <si>
    <t>08:00 - 16:30</t>
  </si>
  <si>
    <t>Hàn Thuyên</t>
  </si>
  <si>
    <t>(08) 38272366</t>
  </si>
  <si>
    <t>(08) 38272367</t>
  </si>
  <si>
    <t>info@cmi-vietnam.com</t>
  </si>
  <si>
    <t>httt://www.cmi-vietnam.com</t>
  </si>
  <si>
    <t>Bệnh thường gặp, Bệnh truyền nhiễm, Tim mạch, Sản khoa - Phụ khoa, Mắt, Y học cổ truyền, Chấn thương chỉnh hình, Nhi khoa, Tư vấn tâm lý - Tâm thần</t>
  </si>
  <si>
    <t>Khám bệnh dịch vụ, Xe đưa đón tận nhà, Chăm sóc cho người già, Chăm sóc nhà cửa và các dịch vụ liên quan, Chăm sóc y tế tại gia, Dễ tiếp cận các phương tiện công cộng, Truyền thông đa phương tiện, Tiếp nhận bệnh nhân mới, Tư vấn chế độ ăn uống, Cấp cứu khẩn cấp, Nút bấm gọi khẩn cấp, TV riêng, Phòng vệ sinh riêng, Kết nối Internet, Điều hòa</t>
  </si>
  <si>
    <t>Bãi giữ xe máy, Bãi giữ xe ô tô, Chỗ đậu xe cho người khuyết tật, Kết nối không dây, Khu vui chơi thiếu nhi, Khu vực cây xanh, Thông báo tái khám qua tin nhắn, Nhà vệ sinh cho người khuyết tật</t>
  </si>
  <si>
    <t>tư vấn tâm lý, điều trị tâm lý, liệu pháp tâm lý, phục hồi tâm lý, tâm lý lứa tuổi, home healthcare, chăm sóc tại gia, chăm sóc người già, 24/7, bác sỹ nước ngoài, chuyên môn, tay nghề cao</t>
  </si>
  <si>
    <t>8:00 - 17:00</t>
  </si>
  <si>
    <t>9:00 - 16:00</t>
  </si>
  <si>
    <t>79</t>
  </si>
  <si>
    <t>Điện Biên Phủ</t>
  </si>
  <si>
    <t>(08) 39104545</t>
  </si>
  <si>
    <t>(08) 39103334</t>
  </si>
  <si>
    <t>http://www.victoriavn.com</t>
  </si>
  <si>
    <t>Bệnh thường gặp, Nhi khoa, Tiêu hóa - Gan - Mật, Nhi khoa, Tim mạch, Sản khoa - Phụ khoa, Tiết niệu, Nam khoa, Tai - Mũi - Họng, Thần kinh, Nội tổng quát</t>
  </si>
  <si>
    <t>Cấp cứu khẩn cấp, Khám bệnh dịch vụ, Tiếp nhận bệnh nhân mới, Đặt lịch khám qua mạng, Chăm sóc thay thế cho thân nhân, Phòng vệ sinh riêng, Điều hòa, Liên lạc trực tiếp với nhân viên trực, Dễ tiếp cận các phương tiện công cộng</t>
  </si>
  <si>
    <t>Bãi giữ xe máy, Bãi giữ xe ô tô, Đặt lịch khám Onine, Khu ăn uống, Khu dành riêng cho người hút thuốc, Tạp hóa</t>
  </si>
  <si>
    <t>thiết bị hiện đại, nha khoa, trẻ em, thiếu nhi, tư vấn tâm lý, tư vấn tâm sinh lý, tim khỏe, chế độ ăn dinh dưỡng, điều trị sâu rộng, dịch vụ chăm sóc, thiết bị tiên tiến, dịch vụ chuyên nghiệp, tận tâm</t>
  </si>
  <si>
    <t>135A</t>
  </si>
  <si>
    <t>Nguyễn Văn Trỗi</t>
  </si>
  <si>
    <t>HCM Family Medical Practice - First Center</t>
  </si>
  <si>
    <t>HCM Family Medical Practice - Second Center</t>
  </si>
  <si>
    <t>Bệnh viện quốc tế Victoria Healthcare - Cơ sở 1</t>
  </si>
  <si>
    <t>Bệnh viện quốc tế Victoria Healthcare - Cơ sở 2</t>
  </si>
  <si>
    <t>Bệnh viện của tổ chức di trú quốc tế</t>
  </si>
  <si>
    <t>07:45 - 18:30</t>
  </si>
  <si>
    <t>08:30 - 15:30</t>
  </si>
  <si>
    <t>1B</t>
  </si>
  <si>
    <t>Phạm Ngọc Thạch</t>
  </si>
  <si>
    <t>(08) 38222057</t>
  </si>
  <si>
    <t>(08) 38221780</t>
  </si>
  <si>
    <t>1hcm.ops@internationalsos.com</t>
  </si>
  <si>
    <t>Bệnh thường gặp, Cấp cứu</t>
  </si>
  <si>
    <t>Phòng khám đa khoa SAIGON - ITO</t>
  </si>
  <si>
    <t>08:00 - 16:45</t>
  </si>
  <si>
    <t>800</t>
  </si>
  <si>
    <t>Trần Hưng Đạo</t>
  </si>
  <si>
    <t>(08) 39225995</t>
  </si>
  <si>
    <t>(08) 39225979</t>
  </si>
  <si>
    <t>saigonito123@gmail.com</t>
  </si>
  <si>
    <t>http://www.saigonitohospital.com</t>
  </si>
  <si>
    <t>Cấp cứu, Ngoại tổng quát, Nội tổng quát, Chuẩn đoán hình ảnh, Răng - Hàm - Mặt, Tai - Mũi - Họng, Phẫu thuật thẩm mỹ, Chấn thương chỉnh hình, Vật lý trị liệu, Gây mê, Hồi sức</t>
  </si>
  <si>
    <t>Cấp cứu khẩn cấp, Điều hòa, Phòng vệ sinh riêng, Bảo vệ an ninh, Kết nối Internet, Dễ tiếp cận các phương tiện công cộng</t>
  </si>
  <si>
    <t>Bãi giữ xe máy, Bãi giữ xe ô tô, Đặt lịch khám Onine, Thông báo tái khám qua tin nhắn</t>
  </si>
  <si>
    <t>bác sỹ giàu kinh nghiệm, phuc vụ 24/7, thẩm mỹ, thủ tục nhanh gọn, giải pháp hiệu quả, trị liệu triệt để, khớp gối, khớp háng, cột sống, chỉnh hình, khớp nhân tạo</t>
  </si>
  <si>
    <t>Bệnh viện Chợ Rẫy</t>
  </si>
  <si>
    <t>07:00 - 17:00</t>
  </si>
  <si>
    <t>07:00 - 19:00</t>
  </si>
  <si>
    <t>205</t>
  </si>
  <si>
    <t>Nguyễn Chí Thanh</t>
  </si>
  <si>
    <t>(08) 38554137</t>
  </si>
  <si>
    <t>(08) 38557267</t>
  </si>
  <si>
    <t>bvchoray@hcm.vnn.vn</t>
  </si>
  <si>
    <t>http://www.choray.vn</t>
  </si>
  <si>
    <t>Bệnh thường gặp, Cấp cứu, Chấn thương chỉnh hình, Chuẩn đoán hình ảnh, Điều dưỡng, Dinh dưỡng, Gây mê, Hô hấp, Dược, Hóa sinh, Hồi sức, Huyết học, Mắt, Ngoại tổng hợp, Bệnh truyền nhiễm, Nội soi, Nội tiết, Nội tiết và đường máu, Nội tổng quát, Phẫu thuật, Phục hồi chức năng, Xương khớp, Xét nghiệm, Vi sinh, Vật lý trị liệu, Tai - Mũi - Họng, Thần kinh, Sinh hóa, Tiêu hóa - Gan - Mật, Thận nội tiết, Thận tiết niệu, Da liễu</t>
  </si>
  <si>
    <t>Bãi giữ xe máy, Bãi giữ xe ô tô, Điện thoại công cộng, Đường đi riêng cho người khuyết tật, Kết nối không dây, Khu ăn uống, Khu dành riêng cho người hút thuốc, Khu nghỉ ngơi cho người nuôi bệnh, Khu vực cây xanh, Khu vui chơi thiếu nhi, Quán café, Tạp hóa, Tra cứu thông tin trực tuyến</t>
  </si>
  <si>
    <t>24/7, đa khoa, bệnh viện lớn nhất, điều trị chuyên sâu, bác sỹ kinh nghiệm, tay nghề cao, cơ sở vật chất tốt, danh hiệu xuất sắc, chuyển bệnh nhân, tai nạn giao thông, chấn thương sọ não, liên tục, dịch vụ tốt, chuyên môn sâu, hạ tầng kỹ thuật đảm bảo, lưu trú cho người thân, thẻ ra vào, xe lăn, đa chuyên ngành, gần trung tâm, hạ tầng tốt, quá tải, thực tập, tiếp nhận tuyến dưới, đa chức năng, phục hồi chức năng, trị liệu chuyên khoa, hồi sức cấp cứu</t>
  </si>
  <si>
    <t>Bệnh viện đa khoa Sài Gòn</t>
  </si>
  <si>
    <t>07:30 - 18:00</t>
  </si>
  <si>
    <t>125</t>
  </si>
  <si>
    <t>Lê Lợi</t>
  </si>
  <si>
    <t>(08) 38291711</t>
  </si>
  <si>
    <t>(08) 38292071</t>
  </si>
  <si>
    <t>bv.saigon@tphcm.gov.vn</t>
  </si>
  <si>
    <t>Cấp cứu khẩn cấp, Đăng ký bảo hiểm y tế, Khám bệnh bảo hiểm y tế, Khám bệnh dịch vụ, Khám sức khỏe tổng quát, Kiểm tra tình hình sức khỏe định kỳ, Điều hòa, TV riêng, Tủ lạnh riêng, Tiếp nhận bệnh nhân mới, Phòng vệ sinh riêng, Chấp nhận bệnh nhân chuyển lên từ tuyến dưới, Tiếp nhận bệnh nhân mới</t>
  </si>
  <si>
    <t>Cấp cứu khẩn cấp, Đăng ký bảo hiểm y tế, Khám bệnh bảo hiểm y tế, Khám bệnh dịch vụ, Khám sức khỏe tổng quát, Kiểm tra tình hình sức khỏe định kỳ, Dễ tiếp cận các phương tiện công cộng, Kết nối Internet, Tiếp nhận bệnh nhân mới, Chấp nhận bệnh nhân chuyển lên từ tuyến dưới</t>
  </si>
  <si>
    <t>Bệnh viện An Bình</t>
  </si>
  <si>
    <t>146</t>
  </si>
  <si>
    <t>An Bình</t>
  </si>
  <si>
    <t>(08) 39234260</t>
  </si>
  <si>
    <t>Bệnh thường gặp, Nội tổng hợp, Dinh dưỡng, Cấp cứu, Chuẩn đoán hình ảnh, Da liễu, Phẫu thuật, Vật lý trị liệu, Thần kinh, Xét nghiệm, Mắt, Nội tim mạch, Nội tổng quát, Hô hấp, Dược, Gây mê, Hồi sức, Tiêu hóa - Gan - Mật, Tai - Mũi - Họng</t>
  </si>
  <si>
    <t>Bệnh thường gặp, Cấp cứu, Chấn thương chỉnh hình, Nhi khoa, Vật lý trị liệu, Tai - Mũi - Họng, Tiêu hóa - Gan - Mật, Tim mạch, Thần kinh, Gây mê, Hồi sức, Mắt, Nội soi, Ngoại tổng quát, Phẫu thuật, Nội tiết, Chuẩn đoán hình ảnh</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</si>
  <si>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t>
  </si>
  <si>
    <t>Bãi giữ xe máy, Khu ăn uống, Điện thoại công cộng, Khu vực cây xanh</t>
  </si>
  <si>
    <t>Bãi giữ xe máy, Khu nghỉ ngơi cho người nuôi bệnh, Khu vực cây xanh, Khu ăn uống, Khu vui chơi thiếu nhi</t>
  </si>
  <si>
    <t>Bệnh viện Thống Nhất</t>
  </si>
  <si>
    <t>Lý Thường Kiệt</t>
  </si>
  <si>
    <t>(08) 3862141</t>
  </si>
  <si>
    <t>http://www.thongnhathospital.org.vn</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</si>
  <si>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 Điều hòa, Nút bấm gọi khẩn cấp, Bình dưỡng khí</t>
  </si>
  <si>
    <t>Bãi giữ xe máy, Bãi giữ xe ô tô, Khu nghỉ ngơi cho người nuôi bệnh, Khu vực cây xanh, Khu vui chơi thiếu nhi, Tạp hóa, Nhà vệ sinh cho người khuyết tật, Khu ăn uống, Kết nối không dây</t>
  </si>
  <si>
    <t>đa khoa, chợ Bến Thành, trung tâm thành phố, di chuyển thuận tiện, giá cả phù hợp, bác sỹ lành nghề, kỹ thuật cao, thiết bị hiện đại, lòng tin tuyệt đối, kỹ năng chuyên môn cao, lâu năm, tai nạn giao thông, chấp nhận tuyến dưới, 24/7</t>
  </si>
  <si>
    <t>đa khoa, niềm tin, bác sỹ giỏi, đào tạo chuyên sâu, thủ tục nhanh gọn, cấp cứu tai nạn, sức khỏe nhân dân, cơ sở vật chất tốt, trang thiết bị hiện đại, cấp cứ 24/7</t>
  </si>
  <si>
    <t>24/7, đa khoa, dịch vụ tốt, khuôn viên rộng, thoáng đãng, yên tĩnh, đội ngũ bác sỹ tay nghề, kỹ thuật cao, đam mê, tận tâm, bệnh nhân là trên hết, lương y như từ mẫu, khám chữa bệnh, nhiệt tình, vệ sinh, chu đáo</t>
  </si>
  <si>
    <t>Bệnh thường gặp, Cấp cứu, Chấn thương chỉnh hình, Hồi sức, Xương khớp, Tai - Mũi - Họng, Mắt, Phẫu thuật, Gây mê, Tiêu hóa - Gan - Mật, Bệnh truyền nhiễm, Tim mạch, Tiết niệu, Xét nghiệm, Vật lý trị liệu, Hô hấp, Y học cổ truyền, Nội tim mạch, Nội soi, Huyết học, Dược, Hóa sinh, Vi sinh</t>
  </si>
  <si>
    <t>Bệnh viện Nguyễn Trãi</t>
  </si>
  <si>
    <t>07:00 - 17:30</t>
  </si>
  <si>
    <t>314</t>
  </si>
  <si>
    <t>Nguyễn Trại</t>
  </si>
  <si>
    <t>(08) 3923592</t>
  </si>
  <si>
    <t>(08) 38382182</t>
  </si>
  <si>
    <t>Bệnh thường gặp, Cấp cứu, Chấn thương chỉnh hình, Chuẩn đoán hình ảnh, Hồi sức, Gây mê, Hô hấp, Dinh dưỡng, Vật lý trị liệu, Xét nghiệm, Nội tiết, Mắt</t>
  </si>
  <si>
    <t>Cấp cứu khẩn cấp, Đăng ký bảo hiểm y tế, Khám bệnh bảo hiểm y tế, Khám bệnh dịch vụ, Kiểm tra tình hình sức khỏe định kỳ, Tiếp nhận bệnh nhân mới, Chấp nhận bệnh nhân chuyển lên từ tuyến dưới</t>
  </si>
  <si>
    <t>Bãi giữ xe máy, Tạp hóa, Khu ăn uống</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</si>
</sst>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5"/>
      <color rgb="FFFFFF00"/>
      <name val="Calibri"/>
      <family val="2"/>
      <scheme val="minor"/>
    </font>
    <font>
      <sz val="10"/>
      <color rgb="FF333333"/>
      <name val="Verdana"/>
      <family val="2"/>
    </font>
    <font>
      <b/>
      <sz val="11"/>
      <color rgb="FFFFFF00"/>
      <name val="Calibri"/>
      <family val="2"/>
      <scheme val="minor"/>
    </font>
  </fonts>
  <fills count="3">
    <fill>
      <patternFill patternType="none"/>
    </fill>
    <fill>
      <patternFill patternType="gray125"/>
    </fill>
    <fill>
      <patternFill patternType="solid">
        <fgColor theme="4"/>
        <bgColor indexed="64"/>
      </patternFill>
    </fill>
  </fills>
  <borders count="10">
    <border>
      <left/>
      <right/>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7">
    <xf numFmtId="0" fontId="0" fillId="0" borderId="0" xfId="0"/>
    <xf numFmtId="0" fontId="1" fillId="2" borderId="1" xfId="0" applyFont="1" applyFill="1" applyBorder="1" applyAlignment="1">
      <alignment vertical="top" wrapText="1"/>
    </xf>
    <xf numFmtId="49" fontId="0" fillId="0" borderId="2" xfId="0" applyNumberFormat="1" applyBorder="1"/>
    <xf numFmtId="0" fontId="0" fillId="0" borderId="2" xfId="0" applyBorder="1"/>
    <xf numFmtId="0" fontId="0" fillId="0" borderId="3" xfId="0" applyBorder="1"/>
    <xf numFmtId="49" fontId="1" fillId="2" borderId="1" xfId="0" applyNumberFormat="1" applyFont="1" applyFill="1" applyBorder="1" applyAlignment="1">
      <alignment vertical="top" wrapText="1"/>
    </xf>
    <xf numFmtId="49" fontId="1" fillId="2" borderId="4" xfId="0" applyNumberFormat="1" applyFont="1" applyFill="1" applyBorder="1" applyAlignment="1">
      <alignment vertical="top" wrapText="1"/>
    </xf>
    <xf numFmtId="49" fontId="1" fillId="2" borderId="5" xfId="0" applyNumberFormat="1" applyFont="1" applyFill="1" applyBorder="1" applyAlignment="1">
      <alignment vertical="top" wrapText="1"/>
    </xf>
    <xf numFmtId="49" fontId="0" fillId="0" borderId="6" xfId="0" applyNumberFormat="1" applyBorder="1"/>
    <xf numFmtId="0" fontId="0" fillId="0" borderId="7" xfId="0" applyBorder="1"/>
    <xf numFmtId="0" fontId="0" fillId="0" borderId="9" xfId="0" applyBorder="1"/>
    <xf numFmtId="0" fontId="1" fillId="2" borderId="5" xfId="0" applyFont="1" applyFill="1" applyBorder="1" applyAlignment="1">
      <alignment vertical="top" wrapText="1"/>
    </xf>
    <xf numFmtId="49" fontId="0" fillId="0" borderId="3" xfId="0" applyNumberFormat="1" applyBorder="1"/>
    <xf numFmtId="49" fontId="0" fillId="0" borderId="7" xfId="0" applyNumberFormat="1" applyBorder="1"/>
    <xf numFmtId="49" fontId="0" fillId="0" borderId="8" xfId="0" applyNumberFormat="1" applyBorder="1"/>
    <xf numFmtId="49" fontId="0" fillId="0" borderId="9" xfId="0" applyNumberFormat="1" applyBorder="1"/>
    <xf numFmtId="0" fontId="0" fillId="0" borderId="6" xfId="0" applyBorder="1"/>
    <xf numFmtId="0" fontId="3" fillId="2" borderId="1" xfId="0" applyFont="1" applyFill="1" applyBorder="1" applyAlignment="1">
      <alignment vertical="center" wrapText="1"/>
    </xf>
    <xf numFmtId="0" fontId="3" fillId="2" borderId="4" xfId="0" applyFont="1" applyFill="1" applyBorder="1" applyAlignment="1">
      <alignment vertical="center" wrapText="1"/>
    </xf>
    <xf numFmtId="0" fontId="3" fillId="2" borderId="5" xfId="0" applyFont="1" applyFill="1" applyBorder="1" applyAlignment="1">
      <alignment vertical="center" wrapText="1"/>
    </xf>
    <xf numFmtId="49" fontId="0" fillId="0" borderId="0" xfId="0" applyNumberFormat="1"/>
    <xf numFmtId="49" fontId="0" fillId="0" borderId="0" xfId="0" applyNumberFormat="1" applyBorder="1"/>
    <xf numFmtId="49" fontId="3" fillId="2" borderId="4" xfId="0" applyNumberFormat="1" applyFont="1" applyFill="1" applyBorder="1" applyAlignment="1">
      <alignment vertical="center" wrapText="1"/>
    </xf>
    <xf numFmtId="49" fontId="3" fillId="2" borderId="0" xfId="0" applyNumberFormat="1" applyFont="1" applyFill="1" applyBorder="1" applyAlignment="1">
      <alignment vertical="center" wrapText="1"/>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2" fillId="0" borderId="6" xfId="0" applyNumberFormat="1" applyFont="1" applyBorder="1" applyAlignment="1">
      <alignment vertical="top"/>
    </xf>
    <xf numFmtId="0" fontId="0" fillId="0" borderId="8" xfId="0" applyBorder="1" applyAlignment="1">
      <alignment vertical="top"/>
    </xf>
    <xf numFmtId="49" fontId="0" fillId="0" borderId="8" xfId="0" applyNumberFormat="1" applyBorder="1" applyAlignment="1">
      <alignment vertical="top"/>
    </xf>
    <xf numFmtId="0" fontId="0" fillId="0" borderId="8" xfId="0" applyBorder="1" applyAlignment="1">
      <alignment vertical="top" wrapText="1"/>
    </xf>
    <xf numFmtId="49" fontId="0" fillId="0" borderId="9" xfId="0" applyNumberFormat="1" applyBorder="1" applyAlignment="1">
      <alignment vertical="top" wrapText="1"/>
    </xf>
    <xf numFmtId="20" fontId="0" fillId="0" borderId="6" xfId="0" applyNumberFormat="1" applyBorder="1" applyAlignment="1">
      <alignment vertical="top"/>
    </xf>
    <xf numFmtId="0" fontId="0" fillId="0" borderId="2" xfId="0" applyBorder="1" applyAlignment="1">
      <alignment vertical="top" wrapText="1"/>
    </xf>
    <xf numFmtId="0" fontId="0" fillId="0" borderId="3" xfId="0" applyBorder="1" applyAlignment="1">
      <alignment vertical="top" wrapText="1"/>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00"/>
  <sheetViews>
    <sheetView tabSelected="1" topLeftCell="R15" workbookViewId="0">
      <selection activeCell="U18" sqref="U18"/>
    </sheetView>
  </sheetViews>
  <sheetFormatPr defaultRowHeight="15" x14ac:dyDescent="0.25"/>
  <cols>
    <col min="1" max="1" width="40.28515625" style="36" customWidth="1"/>
    <col min="2" max="2" width="28.85546875" customWidth="1"/>
    <col min="3" max="3" width="27.7109375" customWidth="1"/>
    <col min="4" max="4" width="27.7109375" bestFit="1" customWidth="1"/>
    <col min="5" max="5" width="23.140625" bestFit="1" customWidth="1"/>
    <col min="6" max="6" width="25.7109375" customWidth="1"/>
    <col min="7" max="7" width="16.5703125" customWidth="1"/>
    <col min="8" max="8" width="27" customWidth="1"/>
    <col min="9" max="9" width="20.7109375" customWidth="1"/>
    <col min="10" max="10" width="21.85546875" customWidth="1"/>
    <col min="11" max="11" width="20.5703125" customWidth="1"/>
    <col min="12" max="12" width="18" style="20" bestFit="1" customWidth="1"/>
    <col min="13" max="13" width="20.5703125" style="20" bestFit="1" customWidth="1"/>
    <col min="14" max="15" width="20.5703125" style="20" customWidth="1"/>
    <col min="16" max="16" width="42.7109375" bestFit="1" customWidth="1"/>
    <col min="17" max="17" width="41.28515625" bestFit="1" customWidth="1"/>
    <col min="18" max="21" width="46.7109375" customWidth="1"/>
    <col min="22" max="22" width="7.28515625" style="20" bestFit="1" customWidth="1"/>
    <col min="23" max="23" width="10.140625" style="20" bestFit="1" customWidth="1"/>
    <col min="24" max="24" width="8.7109375" style="20" bestFit="1" customWidth="1"/>
    <col min="25" max="25" width="8.140625" style="20" bestFit="1" customWidth="1"/>
  </cols>
  <sheetData>
    <row r="1" spans="1:25" ht="30" x14ac:dyDescent="0.25">
      <c r="A1" s="17" t="s">
        <v>0</v>
      </c>
      <c r="B1" s="18" t="s">
        <v>1</v>
      </c>
      <c r="C1" s="18" t="s">
        <v>2</v>
      </c>
      <c r="D1" s="18" t="s">
        <v>3</v>
      </c>
      <c r="E1" s="18" t="s">
        <v>4</v>
      </c>
      <c r="F1" s="18" t="s">
        <v>5</v>
      </c>
      <c r="G1" s="18" t="s">
        <v>6</v>
      </c>
      <c r="H1" s="18" t="s">
        <v>7</v>
      </c>
      <c r="I1" s="18" t="s">
        <v>8</v>
      </c>
      <c r="J1" s="18" t="s">
        <v>9</v>
      </c>
      <c r="K1" s="18" t="s">
        <v>10</v>
      </c>
      <c r="L1" s="22" t="s">
        <v>28</v>
      </c>
      <c r="M1" s="22" t="s">
        <v>29</v>
      </c>
      <c r="N1" s="22" t="s">
        <v>30</v>
      </c>
      <c r="O1" s="22" t="s">
        <v>31</v>
      </c>
      <c r="P1" s="18" t="s">
        <v>322</v>
      </c>
      <c r="Q1" s="18" t="s">
        <v>323</v>
      </c>
      <c r="R1" s="18" t="s">
        <v>324</v>
      </c>
      <c r="S1" s="18" t="s">
        <v>257</v>
      </c>
      <c r="T1" s="18" t="s">
        <v>289</v>
      </c>
      <c r="U1" s="19" t="s">
        <v>326</v>
      </c>
      <c r="V1" s="23" t="s">
        <v>319</v>
      </c>
      <c r="W1" s="23" t="s">
        <v>320</v>
      </c>
      <c r="X1" s="23" t="s">
        <v>321</v>
      </c>
      <c r="Y1" s="23" t="s">
        <v>318</v>
      </c>
    </row>
    <row r="2" spans="1:25" ht="75" x14ac:dyDescent="0.25">
      <c r="A2" s="34" t="s">
        <v>530</v>
      </c>
      <c r="B2" s="24" t="s">
        <v>311</v>
      </c>
      <c r="C2" s="24" t="s">
        <v>533</v>
      </c>
      <c r="D2" s="24" t="s">
        <v>533</v>
      </c>
      <c r="E2" s="24" t="b">
        <v>0</v>
      </c>
      <c r="F2" s="24"/>
      <c r="G2" s="25" t="s">
        <v>534</v>
      </c>
      <c r="H2" s="25" t="s">
        <v>535</v>
      </c>
      <c r="I2" s="25" t="s">
        <v>12</v>
      </c>
      <c r="J2" s="25" t="s">
        <v>327</v>
      </c>
      <c r="K2" s="25" t="s">
        <v>346</v>
      </c>
      <c r="L2" s="25" t="s">
        <v>531</v>
      </c>
      <c r="M2" s="25" t="s">
        <v>532</v>
      </c>
      <c r="N2" s="25" t="s">
        <v>536</v>
      </c>
      <c r="O2" s="25"/>
      <c r="P2" s="25" t="s">
        <v>537</v>
      </c>
      <c r="Q2" s="24" t="s">
        <v>562</v>
      </c>
      <c r="R2" s="26" t="s">
        <v>549</v>
      </c>
      <c r="S2" s="26" t="s">
        <v>564</v>
      </c>
      <c r="T2" s="26" t="s">
        <v>538</v>
      </c>
      <c r="U2" s="27" t="s">
        <v>552</v>
      </c>
      <c r="V2" s="20">
        <f>IF(I2 &lt;&gt; "", VLOOKUP(I2, City!$A$1:$B$2, 2, FALSE), "" )</f>
        <v>79</v>
      </c>
      <c r="W2" s="20">
        <f>IF(J2 &lt;&gt; "", VLOOKUP(J2, District!$A$1:$B$25, 2, FALSE), "")</f>
        <v>760</v>
      </c>
      <c r="X2" s="21">
        <f>IF(K2 &lt;&gt; "", VLOOKUP(K2, IF(J2="Quận 1", Ward!$A$2:$B$11, IF(J2="Quận 2", Ward!$C$2:$D$12, IF(J2="Quận 3", Ward!$E$2:$F$15, IF(J2="Quận 4", Ward!$G$2:$H$16, IF(J2="Quận 5", Ward!$I$2:$J$16, IF(J2="Quận 6", Ward!$K$2:$L$15, IF(J2="Quận 7", Ward!$M$2:$N$11, IF(J2="Quận 8", Ward!$O$2:$P$17, IF(J2="Quận 9", Ward!$Q$2:$R$14, IF(J2="Quận 10", Ward!$S$2:$T$16, IF(J2="Quận 11", Ward!$U$2:$V$17, IF(J2="Quận 12", Ward!$W$2:$X$12, IF(J2="Huyện Bình Chánh", Ward!$Y$2:$Z$17, IF(J2="Quận Bình Tân", Ward!$AA$2:$AB$11, IF(J2="Quận Bình Thạnh", Ward!$AC$2:$AD$21, IF(J2="Huyện Cần Giờ", Ward!$AE$2:$AF$8, IF(J2="Huyện Củ Chi", Ward!$AG$2:$AH$22, IF(J2="Quận Gò Vấp", Ward!$AI$2:$AJ$17, IF(J2="Huyện Hóc Môn", Ward!$AK$2:$AL$13, IF(J2="Huyện Nhà Bè", Ward!$AM$2:$AN$8, IF(J2="Quận Phú Nhuận", Ward!$AO$2:$AP$16, IF(J2="Quận Tân Bình", Ward!$AQ$2:$AR$16, IF(J2="Quận Tân Phú", Ward!$AS$2:$AT$12, IF(J2="Quận Thủ Đức", Ward!$AU$2:$AV$13)))))))))))))))))))))))), 2, FALSE), "")</f>
        <v>26740</v>
      </c>
      <c r="Y2" s="20">
        <f>IF(B2 &lt;&gt; "", VLOOKUP(B2, HospitalType!$A$2:$B$9, 2, FALSE), "")</f>
        <v>3</v>
      </c>
    </row>
    <row r="3" spans="1:25" ht="120" x14ac:dyDescent="0.25">
      <c r="A3" s="34" t="s">
        <v>626</v>
      </c>
      <c r="B3" s="24" t="s">
        <v>311</v>
      </c>
      <c r="C3" s="24" t="s">
        <v>553</v>
      </c>
      <c r="D3" s="24" t="s">
        <v>553</v>
      </c>
      <c r="E3" s="24" t="b">
        <v>0</v>
      </c>
      <c r="F3" s="24"/>
      <c r="G3" s="28" t="s">
        <v>539</v>
      </c>
      <c r="H3" s="28" t="s">
        <v>540</v>
      </c>
      <c r="I3" s="25" t="s">
        <v>12</v>
      </c>
      <c r="J3" s="25" t="s">
        <v>327</v>
      </c>
      <c r="K3" s="25" t="s">
        <v>346</v>
      </c>
      <c r="L3" s="25" t="s">
        <v>543</v>
      </c>
      <c r="M3" s="25" t="s">
        <v>551</v>
      </c>
      <c r="N3" s="25"/>
      <c r="O3" s="25"/>
      <c r="P3" s="25" t="s">
        <v>544</v>
      </c>
      <c r="Q3" s="24" t="s">
        <v>546</v>
      </c>
      <c r="R3" s="26" t="s">
        <v>568</v>
      </c>
      <c r="S3" s="26" t="s">
        <v>578</v>
      </c>
      <c r="T3" s="26" t="s">
        <v>550</v>
      </c>
      <c r="U3" s="27" t="s">
        <v>554</v>
      </c>
      <c r="V3" s="20">
        <f>IF(I3 &lt;&gt; "", VLOOKUP(I3, City!$A$1:$B$2, 2, FALSE), "" )</f>
        <v>79</v>
      </c>
      <c r="W3" s="20">
        <f>IF(J3 &lt;&gt; "", VLOOKUP(J3, District!$A$1:$B$25, 2, FALSE), "")</f>
        <v>760</v>
      </c>
      <c r="X3" s="21">
        <f>IF(K3 &lt;&gt; "", VLOOKUP(K3, IF(J3="Quận 1", Ward!$A$2:$B$11, IF(J3="Quận 2", Ward!$C$2:$D$12, IF(J3="Quận 3", Ward!$E$2:$F$15, IF(J3="Quận 4", Ward!$G$2:$H$16, IF(J3="Quận 5", Ward!$I$2:$J$16, IF(J3="Quận 6", Ward!$K$2:$L$15, IF(J3="Quận 7", Ward!$M$2:$N$11, IF(J3="Quận 8", Ward!$O$2:$P$17, IF(J3="Quận 9", Ward!$Q$2:$R$14, IF(J3="Quận 10", Ward!$S$2:$T$16, IF(J3="Quận 11", Ward!$U$2:$V$17, IF(J3="Quận 12", Ward!$W$2:$X$12, IF(J3="Huyện Bình Chánh", Ward!$Y$2:$Z$17, IF(J3="Quận Bình Tân", Ward!$AA$2:$AB$11, IF(J3="Quận Bình Thạnh", Ward!$AC$2:$AD$21, IF(J3="Huyện Cần Giờ", Ward!$AE$2:$AF$8, IF(J3="Huyện Củ Chi", Ward!$AG$2:$AH$22, IF(J3="Quận Gò Vấp", Ward!$AI$2:$AJ$17, IF(J3="Huyện Hóc Môn", Ward!$AK$2:$AL$13, IF(J3="Huyện Nhà Bè", Ward!$AM$2:$AN$8, IF(J3="Quận Phú Nhuận", Ward!$AO$2:$AP$16, IF(J3="Quận Tân Bình", Ward!$AQ$2:$AR$16, IF(J3="Quận Tân Phú", Ward!$AS$2:$AT$12, IF(J3="Quận Thủ Đức", Ward!$AU$2:$AV$13)))))))))))))))))))))))), 2, FALSE), "")</f>
        <v>26740</v>
      </c>
      <c r="Y3" s="20">
        <f>IF(B3 &lt;&gt; "", VLOOKUP(B3, HospitalType!$A$2:$B$9, 2, FALSE), "")</f>
        <v>3</v>
      </c>
    </row>
    <row r="4" spans="1:25" ht="120" x14ac:dyDescent="0.25">
      <c r="A4" s="34" t="s">
        <v>627</v>
      </c>
      <c r="B4" s="24" t="s">
        <v>311</v>
      </c>
      <c r="C4" s="24" t="s">
        <v>553</v>
      </c>
      <c r="D4" s="24" t="s">
        <v>553</v>
      </c>
      <c r="E4" s="24" t="b">
        <v>0</v>
      </c>
      <c r="F4" s="24"/>
      <c r="G4" s="25" t="s">
        <v>547</v>
      </c>
      <c r="H4" s="25" t="s">
        <v>548</v>
      </c>
      <c r="I4" s="25" t="s">
        <v>12</v>
      </c>
      <c r="J4" s="25" t="s">
        <v>331</v>
      </c>
      <c r="K4" s="25" t="s">
        <v>365</v>
      </c>
      <c r="L4" s="25" t="s">
        <v>541</v>
      </c>
      <c r="M4" s="25" t="s">
        <v>542</v>
      </c>
      <c r="N4" s="25"/>
      <c r="O4" s="25"/>
      <c r="P4" s="25" t="s">
        <v>545</v>
      </c>
      <c r="Q4" s="24" t="s">
        <v>546</v>
      </c>
      <c r="R4" s="26" t="s">
        <v>568</v>
      </c>
      <c r="S4" s="26" t="s">
        <v>578</v>
      </c>
      <c r="T4" s="26" t="s">
        <v>550</v>
      </c>
      <c r="U4" s="27" t="s">
        <v>554</v>
      </c>
      <c r="V4" s="20">
        <f>IF(I4 &lt;&gt; "", VLOOKUP(I4, City!$A$1:$B$2, 2, FALSE), "" )</f>
        <v>79</v>
      </c>
      <c r="W4" s="20">
        <f>IF(J4 &lt;&gt; "", VLOOKUP(J4, District!$A$1:$B$25, 2, FALSE), "")</f>
        <v>769</v>
      </c>
      <c r="X4" s="21">
        <f>IF(K4 &lt;&gt; "", VLOOKUP(K4, IF(J4="Quận 1", Ward!$A$2:$B$11, IF(J4="Quận 2", Ward!$C$2:$D$12, IF(J4="Quận 3", Ward!$E$2:$F$15, IF(J4="Quận 4", Ward!$G$2:$H$16, IF(J4="Quận 5", Ward!$I$2:$J$16, IF(J4="Quận 6", Ward!$K$2:$L$15, IF(J4="Quận 7", Ward!$M$2:$N$11, IF(J4="Quận 8", Ward!$O$2:$P$17, IF(J4="Quận 9", Ward!$Q$2:$R$14, IF(J4="Quận 10", Ward!$S$2:$T$16, IF(J4="Quận 11", Ward!$U$2:$V$17, IF(J4="Quận 12", Ward!$W$2:$X$12, IF(J4="Huyện Bình Chánh", Ward!$Y$2:$Z$17, IF(J4="Quận Bình Tân", Ward!$AA$2:$AB$11, IF(J4="Quận Bình Thạnh", Ward!$AC$2:$AD$21, IF(J4="Huyện Cần Giờ", Ward!$AE$2:$AF$8, IF(J4="Huyện Củ Chi", Ward!$AG$2:$AH$22, IF(J4="Quận Gò Vấp", Ward!$AI$2:$AJ$17, IF(J4="Huyện Hóc Môn", Ward!$AK$2:$AL$13, IF(J4="Huyện Nhà Bè", Ward!$AM$2:$AN$8, IF(J4="Quận Phú Nhuận", Ward!$AO$2:$AP$16, IF(J4="Quận Tân Bình", Ward!$AQ$2:$AR$16, IF(J4="Quận Tân Phú", Ward!$AS$2:$AT$12, IF(J4="Quận Thủ Đức", Ward!$AU$2:$AV$13)))))))))))))))))))))))), 2, FALSE), "")</f>
        <v>27088</v>
      </c>
      <c r="Y4" s="20">
        <f>IF(B4 &lt;&gt; "", VLOOKUP(B4, HospitalType!$A$2:$B$9, 2, FALSE), "")</f>
        <v>3</v>
      </c>
    </row>
    <row r="5" spans="1:25" ht="90" x14ac:dyDescent="0.25">
      <c r="A5" s="34" t="s">
        <v>555</v>
      </c>
      <c r="B5" s="24" t="s">
        <v>311</v>
      </c>
      <c r="C5" s="24" t="s">
        <v>556</v>
      </c>
      <c r="D5" s="24" t="s">
        <v>556</v>
      </c>
      <c r="E5" s="24" t="b">
        <v>0</v>
      </c>
      <c r="F5" s="24"/>
      <c r="G5" s="25" t="s">
        <v>557</v>
      </c>
      <c r="H5" s="25" t="s">
        <v>558</v>
      </c>
      <c r="I5" s="25" t="s">
        <v>12</v>
      </c>
      <c r="J5" s="25" t="s">
        <v>341</v>
      </c>
      <c r="K5" s="25" t="s">
        <v>373</v>
      </c>
      <c r="L5" s="25" t="s">
        <v>559</v>
      </c>
      <c r="M5" s="25" t="s">
        <v>560</v>
      </c>
      <c r="N5" s="25"/>
      <c r="O5" s="25"/>
      <c r="P5" s="25" t="s">
        <v>563</v>
      </c>
      <c r="Q5" s="24" t="s">
        <v>561</v>
      </c>
      <c r="R5" s="26" t="s">
        <v>569</v>
      </c>
      <c r="S5" s="26" t="s">
        <v>579</v>
      </c>
      <c r="T5" s="26" t="s">
        <v>565</v>
      </c>
      <c r="U5" s="27" t="s">
        <v>566</v>
      </c>
      <c r="V5" s="20">
        <f>IF(I5 &lt;&gt; "", VLOOKUP(I5, City!$A$1:$B$2, 2, FALSE), "" )</f>
        <v>79</v>
      </c>
      <c r="W5" s="20">
        <f>IF(J5 &lt;&gt; "", VLOOKUP(J5, District!$A$1:$B$25, 2, FALSE), "")</f>
        <v>764</v>
      </c>
      <c r="X5" s="21" t="str">
        <f>IF(K5 &lt;&gt; "", VLOOKUP(K5, IF(J5="Quận 1", Ward!$A$2:$B$11, IF(J5="Quận 2", Ward!$C$2:$D$12, IF(J5="Quận 3", Ward!$E$2:$F$15, IF(J5="Quận 4", Ward!$G$2:$H$16, IF(J5="Quận 5", Ward!$I$2:$J$16, IF(J5="Quận 6", Ward!$K$2:$L$15, IF(J5="Quận 7", Ward!$M$2:$N$11, IF(J5="Quận 8", Ward!$O$2:$P$17, IF(J5="Quận 9", Ward!$Q$2:$R$14, IF(J5="Quận 10", Ward!$S$2:$T$16, IF(J5="Quận 11", Ward!$U$2:$V$17, IF(J5="Quận 12", Ward!$W$2:$X$12, IF(J5="Huyện Bình Chánh", Ward!$Y$2:$Z$17, IF(J5="Quận Bình Tân", Ward!$AA$2:$AB$11, IF(J5="Quận Bình Thạnh", Ward!$AC$2:$AD$21, IF(J5="Huyện Cần Giờ", Ward!$AE$2:$AF$8, IF(J5="Huyện Củ Chi", Ward!$AG$2:$AH$22, IF(J5="Quận Gò Vấp", Ward!$AI$2:$AJ$17, IF(J5="Huyện Hóc Môn", Ward!$AK$2:$AL$13, IF(J5="Huyện Nhà Bè", Ward!$AM$2:$AN$8, IF(J5="Quận Phú Nhuận", Ward!$AO$2:$AP$16, IF(J5="Quận Tân Bình", Ward!$AQ$2:$AR$16, IF(J5="Quận Tân Phú", Ward!$AS$2:$AT$12, IF(J5="Quận Thủ Đức", Ward!$AU$2:$AV$13)))))))))))))))))))))))), 2, FALSE), "")</f>
        <v>26890</v>
      </c>
      <c r="Y5" s="20">
        <f>IF(B5 &lt;&gt; "", VLOOKUP(B5, HospitalType!$A$2:$B$9, 2, FALSE), "")</f>
        <v>3</v>
      </c>
    </row>
    <row r="6" spans="1:25" ht="120" x14ac:dyDescent="0.25">
      <c r="A6" s="34" t="s">
        <v>567</v>
      </c>
      <c r="B6" s="24" t="s">
        <v>311</v>
      </c>
      <c r="C6" s="24" t="s">
        <v>575</v>
      </c>
      <c r="D6" s="24" t="s">
        <v>575</v>
      </c>
      <c r="E6" s="24" t="b">
        <v>0</v>
      </c>
      <c r="F6" s="24"/>
      <c r="G6" s="25" t="s">
        <v>570</v>
      </c>
      <c r="H6" s="25" t="s">
        <v>571</v>
      </c>
      <c r="I6" s="25" t="s">
        <v>12</v>
      </c>
      <c r="J6" s="25" t="s">
        <v>336</v>
      </c>
      <c r="K6" s="25" t="s">
        <v>390</v>
      </c>
      <c r="L6" s="25" t="s">
        <v>572</v>
      </c>
      <c r="M6" s="25"/>
      <c r="N6" s="25"/>
      <c r="O6" s="25"/>
      <c r="P6" s="25" t="s">
        <v>573</v>
      </c>
      <c r="Q6" s="24" t="s">
        <v>574</v>
      </c>
      <c r="R6" s="26" t="s">
        <v>576</v>
      </c>
      <c r="S6" s="26" t="s">
        <v>580</v>
      </c>
      <c r="T6" s="26" t="s">
        <v>581</v>
      </c>
      <c r="U6" s="27" t="s">
        <v>582</v>
      </c>
      <c r="V6" s="20">
        <f>IF(I6 &lt;&gt; "", VLOOKUP(I6, City!$A$1:$B$2, 2, FALSE), "" )</f>
        <v>79</v>
      </c>
      <c r="W6" s="20">
        <f>IF(J6 &lt;&gt; "", VLOOKUP(J6, District!$A$1:$B$25, 2, FALSE), "")</f>
        <v>778</v>
      </c>
      <c r="X6" s="21">
        <f>IF(K6 &lt;&gt; "", VLOOKUP(K6, IF(J6="Quận 1", Ward!$A$2:$B$11, IF(J6="Quận 2", Ward!$C$2:$D$12, IF(J6="Quận 3", Ward!$E$2:$F$15, IF(J6="Quận 4", Ward!$G$2:$H$16, IF(J6="Quận 5", Ward!$I$2:$J$16, IF(J6="Quận 6", Ward!$K$2:$L$15, IF(J6="Quận 7", Ward!$M$2:$N$11, IF(J6="Quận 8", Ward!$O$2:$P$17, IF(J6="Quận 9", Ward!$Q$2:$R$14, IF(J6="Quận 10", Ward!$S$2:$T$16, IF(J6="Quận 11", Ward!$U$2:$V$17, IF(J6="Quận 12", Ward!$W$2:$X$12, IF(J6="Huyện Bình Chánh", Ward!$Y$2:$Z$17, IF(J6="Quận Bình Tân", Ward!$AA$2:$AB$11, IF(J6="Quận Bình Thạnh", Ward!$AC$2:$AD$21, IF(J6="Huyện Cần Giờ", Ward!$AE$2:$AF$8, IF(J6="Huyện Củ Chi", Ward!$AG$2:$AH$22, IF(J6="Quận Gò Vấp", Ward!$AI$2:$AJ$17, IF(J6="Huyện Hóc Môn", Ward!$AK$2:$AL$13, IF(J6="Huyện Nhà Bè", Ward!$AM$2:$AN$8, IF(J6="Quận Phú Nhuận", Ward!$AO$2:$AP$16, IF(J6="Quận Tân Bình", Ward!$AQ$2:$AR$16, IF(J6="Quận Tân Phú", Ward!$AS$2:$AT$12, IF(J6="Quận Thủ Đức", Ward!$AU$2:$AV$13)))))))))))))))))))))))), 2, FALSE), "")</f>
        <v>27487</v>
      </c>
      <c r="Y6" s="20">
        <f>IF(B6 &lt;&gt; "", VLOOKUP(B6, HospitalType!$A$2:$B$9, 2, FALSE), "")</f>
        <v>3</v>
      </c>
    </row>
    <row r="7" spans="1:25" ht="90" x14ac:dyDescent="0.25">
      <c r="A7" s="34" t="s">
        <v>583</v>
      </c>
      <c r="B7" s="24" t="s">
        <v>316</v>
      </c>
      <c r="C7" s="24" t="s">
        <v>584</v>
      </c>
      <c r="D7" s="24" t="s">
        <v>585</v>
      </c>
      <c r="E7" s="24" t="b">
        <v>0</v>
      </c>
      <c r="F7" s="24"/>
      <c r="G7" s="25" t="s">
        <v>586</v>
      </c>
      <c r="H7" s="25" t="s">
        <v>587</v>
      </c>
      <c r="I7" s="25" t="s">
        <v>12</v>
      </c>
      <c r="J7" s="25" t="s">
        <v>327</v>
      </c>
      <c r="K7" s="25" t="s">
        <v>346</v>
      </c>
      <c r="L7" s="25" t="s">
        <v>588</v>
      </c>
      <c r="M7" s="25" t="s">
        <v>589</v>
      </c>
      <c r="N7" s="25"/>
      <c r="O7" s="25"/>
      <c r="P7" s="25" t="s">
        <v>590</v>
      </c>
      <c r="Q7" s="24" t="s">
        <v>591</v>
      </c>
      <c r="R7" s="26" t="s">
        <v>592</v>
      </c>
      <c r="S7" s="26" t="s">
        <v>593</v>
      </c>
      <c r="T7" s="26" t="s">
        <v>594</v>
      </c>
      <c r="U7" s="27" t="s">
        <v>595</v>
      </c>
      <c r="V7" s="20">
        <f>IF(I7 &lt;&gt; "", VLOOKUP(I7, City!$A$1:$B$2, 2, FALSE), "" )</f>
        <v>79</v>
      </c>
      <c r="W7" s="20">
        <f>IF(J7 &lt;&gt; "", VLOOKUP(J7, District!$A$1:$B$25, 2, FALSE), "")</f>
        <v>760</v>
      </c>
      <c r="X7" s="21">
        <f>IF(K7 &lt;&gt; "", VLOOKUP(K7, IF(J7="Quận 1", Ward!$A$2:$B$11, IF(J7="Quận 2", Ward!$C$2:$D$12, IF(J7="Quận 3", Ward!$E$2:$F$15, IF(J7="Quận 4", Ward!$G$2:$H$16, IF(J7="Quận 5", Ward!$I$2:$J$16, IF(J7="Quận 6", Ward!$K$2:$L$15, IF(J7="Quận 7", Ward!$M$2:$N$11, IF(J7="Quận 8", Ward!$O$2:$P$17, IF(J7="Quận 9", Ward!$Q$2:$R$14, IF(J7="Quận 10", Ward!$S$2:$T$16, IF(J7="Quận 11", Ward!$U$2:$V$17, IF(J7="Quận 12", Ward!$W$2:$X$12, IF(J7="Huyện Bình Chánh", Ward!$Y$2:$Z$17, IF(J7="Quận Bình Tân", Ward!$AA$2:$AB$11, IF(J7="Quận Bình Thạnh", Ward!$AC$2:$AD$21, IF(J7="Huyện Cần Giờ", Ward!$AE$2:$AF$8, IF(J7="Huyện Củ Chi", Ward!$AG$2:$AH$22, IF(J7="Quận Gò Vấp", Ward!$AI$2:$AJ$17, IF(J7="Huyện Hóc Môn", Ward!$AK$2:$AL$13, IF(J7="Huyện Nhà Bè", Ward!$AM$2:$AN$8, IF(J7="Quận Phú Nhuận", Ward!$AO$2:$AP$16, IF(J7="Quận Tân Bình", Ward!$AQ$2:$AR$16, IF(J7="Quận Tân Phú", Ward!$AS$2:$AT$12, IF(J7="Quận Thủ Đức", Ward!$AU$2:$AV$13)))))))))))))))))))))))), 2, FALSE), "")</f>
        <v>26740</v>
      </c>
      <c r="Y7" s="20">
        <f>IF(B7 &lt;&gt; "", VLOOKUP(B7, HospitalType!$A$2:$B$9, 2, FALSE), "")</f>
        <v>4</v>
      </c>
    </row>
    <row r="8" spans="1:25" ht="90" x14ac:dyDescent="0.25">
      <c r="A8" s="34" t="s">
        <v>596</v>
      </c>
      <c r="B8" s="24" t="s">
        <v>311</v>
      </c>
      <c r="C8" s="24" t="s">
        <v>584</v>
      </c>
      <c r="D8" s="24" t="s">
        <v>584</v>
      </c>
      <c r="E8" s="24" t="b">
        <v>0</v>
      </c>
      <c r="F8" s="24"/>
      <c r="G8" s="25" t="s">
        <v>597</v>
      </c>
      <c r="H8" s="25" t="s">
        <v>598</v>
      </c>
      <c r="I8" s="25" t="s">
        <v>12</v>
      </c>
      <c r="J8" s="25" t="s">
        <v>340</v>
      </c>
      <c r="K8" s="25" t="s">
        <v>373</v>
      </c>
      <c r="L8" s="25" t="s">
        <v>599</v>
      </c>
      <c r="M8" s="25" t="s">
        <v>600</v>
      </c>
      <c r="N8" s="25"/>
      <c r="O8" s="25"/>
      <c r="P8" s="25" t="s">
        <v>601</v>
      </c>
      <c r="Q8" s="24" t="s">
        <v>591</v>
      </c>
      <c r="R8" s="26" t="s">
        <v>592</v>
      </c>
      <c r="S8" s="26" t="s">
        <v>593</v>
      </c>
      <c r="T8" s="26" t="s">
        <v>594</v>
      </c>
      <c r="U8" s="27" t="s">
        <v>595</v>
      </c>
      <c r="V8" s="20">
        <f>IF(I8 &lt;&gt; "", VLOOKUP(I8, City!$A$1:$B$2, 2, FALSE), "" )</f>
        <v>79</v>
      </c>
      <c r="W8" s="20">
        <f>IF(J8 &lt;&gt; "", VLOOKUP(J8, District!$A$1:$B$25, 2, FALSE), "")</f>
        <v>765</v>
      </c>
      <c r="X8" s="21" t="str">
        <f>IF(K8 &lt;&gt; "", VLOOKUP(K8, IF(J8="Quận 1", Ward!$A$2:$B$11, IF(J8="Quận 2", Ward!$C$2:$D$12, IF(J8="Quận 3", Ward!$E$2:$F$15, IF(J8="Quận 4", Ward!$G$2:$H$16, IF(J8="Quận 5", Ward!$I$2:$J$16, IF(J8="Quận 6", Ward!$K$2:$L$15, IF(J8="Quận 7", Ward!$M$2:$N$11, IF(J8="Quận 8", Ward!$O$2:$P$17, IF(J8="Quận 9", Ward!$Q$2:$R$14, IF(J8="Quận 10", Ward!$S$2:$T$16, IF(J8="Quận 11", Ward!$U$2:$V$17, IF(J8="Quận 12", Ward!$W$2:$X$12, IF(J8="Huyện Bình Chánh", Ward!$Y$2:$Z$17, IF(J8="Quận Bình Tân", Ward!$AA$2:$AB$11, IF(J8="Quận Bình Thạnh", Ward!$AC$2:$AD$21, IF(J8="Huyện Cần Giờ", Ward!$AE$2:$AF$8, IF(J8="Huyện Củ Chi", Ward!$AG$2:$AH$22, IF(J8="Quận Gò Vấp", Ward!$AI$2:$AJ$17, IF(J8="Huyện Hóc Môn", Ward!$AK$2:$AL$13, IF(J8="Huyện Nhà Bè", Ward!$AM$2:$AN$8, IF(J8="Quận Phú Nhuận", Ward!$AO$2:$AP$16, IF(J8="Quận Tân Bình", Ward!$AQ$2:$AR$16, IF(J8="Quận Tân Phú", Ward!$AS$2:$AT$12, IF(J8="Quận Thủ Đức", Ward!$AU$2:$AV$13)))))))))))))))))))))))), 2, FALSE), "")</f>
        <v>26926</v>
      </c>
      <c r="Y8" s="20">
        <f>IF(B8 &lt;&gt; "", VLOOKUP(B8, HospitalType!$A$2:$B$9, 2, FALSE), "")</f>
        <v>3</v>
      </c>
    </row>
    <row r="9" spans="1:25" ht="120" x14ac:dyDescent="0.25">
      <c r="A9" s="34" t="s">
        <v>602</v>
      </c>
      <c r="B9" s="24" t="s">
        <v>311</v>
      </c>
      <c r="C9" s="24" t="s">
        <v>603</v>
      </c>
      <c r="D9" s="24" t="s">
        <v>603</v>
      </c>
      <c r="E9" s="24" t="b">
        <v>0</v>
      </c>
      <c r="F9" s="24"/>
      <c r="G9" s="25" t="s">
        <v>597</v>
      </c>
      <c r="H9" s="25" t="s">
        <v>604</v>
      </c>
      <c r="I9" s="25" t="s">
        <v>12</v>
      </c>
      <c r="J9" s="25" t="s">
        <v>327</v>
      </c>
      <c r="K9" s="25" t="s">
        <v>347</v>
      </c>
      <c r="L9" s="25" t="s">
        <v>605</v>
      </c>
      <c r="M9" s="25" t="s">
        <v>606</v>
      </c>
      <c r="N9" s="25"/>
      <c r="O9" s="25"/>
      <c r="P9" s="25" t="s">
        <v>607</v>
      </c>
      <c r="Q9" s="24" t="s">
        <v>608</v>
      </c>
      <c r="R9" s="26" t="s">
        <v>609</v>
      </c>
      <c r="S9" s="26" t="s">
        <v>610</v>
      </c>
      <c r="T9" s="26" t="s">
        <v>611</v>
      </c>
      <c r="U9" s="27" t="s">
        <v>612</v>
      </c>
      <c r="V9" s="20">
        <f>IF(I9 &lt;&gt; "", VLOOKUP(I9, City!$A$1:$B$2, 2, FALSE), "" )</f>
        <v>79</v>
      </c>
      <c r="W9" s="20">
        <f>IF(J9 &lt;&gt; "", VLOOKUP(J9, District!$A$1:$B$25, 2, FALSE), "")</f>
        <v>760</v>
      </c>
      <c r="X9" s="21">
        <f>IF(K9 &lt;&gt; "", VLOOKUP(K9, IF(J9="Quận 1", Ward!$A$2:$B$11, IF(J9="Quận 2", Ward!$C$2:$D$12, IF(J9="Quận 3", Ward!$E$2:$F$15, IF(J9="Quận 4", Ward!$G$2:$H$16, IF(J9="Quận 5", Ward!$I$2:$J$16, IF(J9="Quận 6", Ward!$K$2:$L$15, IF(J9="Quận 7", Ward!$M$2:$N$11, IF(J9="Quận 8", Ward!$O$2:$P$17, IF(J9="Quận 9", Ward!$Q$2:$R$14, IF(J9="Quận 10", Ward!$S$2:$T$16, IF(J9="Quận 11", Ward!$U$2:$V$17, IF(J9="Quận 12", Ward!$W$2:$X$12, IF(J9="Huyện Bình Chánh", Ward!$Y$2:$Z$17, IF(J9="Quận Bình Tân", Ward!$AA$2:$AB$11, IF(J9="Quận Bình Thạnh", Ward!$AC$2:$AD$21, IF(J9="Huyện Cần Giờ", Ward!$AE$2:$AF$8, IF(J9="Huyện Củ Chi", Ward!$AG$2:$AH$22, IF(J9="Quận Gò Vấp", Ward!$AI$2:$AJ$17, IF(J9="Huyện Hóc Môn", Ward!$AK$2:$AL$13, IF(J9="Huyện Nhà Bè", Ward!$AM$2:$AN$8, IF(J9="Quận Phú Nhuận", Ward!$AO$2:$AP$16, IF(J9="Quận Tân Bình", Ward!$AQ$2:$AR$16, IF(J9="Quận Tân Phú", Ward!$AS$2:$AT$12, IF(J9="Quận Thủ Đức", Ward!$AU$2:$AV$13)))))))))))))))))))))))), 2, FALSE), "")</f>
        <v>26743</v>
      </c>
      <c r="Y9" s="20">
        <f>IF(B9 &lt;&gt; "", VLOOKUP(B9, HospitalType!$A$2:$B$9, 2, FALSE), "")</f>
        <v>3</v>
      </c>
    </row>
    <row r="10" spans="1:25" ht="75" x14ac:dyDescent="0.25">
      <c r="A10" s="34" t="s">
        <v>628</v>
      </c>
      <c r="B10" s="24" t="s">
        <v>316</v>
      </c>
      <c r="C10" s="33" t="s">
        <v>613</v>
      </c>
      <c r="D10" s="33" t="s">
        <v>614</v>
      </c>
      <c r="E10" s="24" t="b">
        <v>0</v>
      </c>
      <c r="F10" s="24"/>
      <c r="G10" s="25" t="s">
        <v>615</v>
      </c>
      <c r="H10" s="25" t="s">
        <v>616</v>
      </c>
      <c r="I10" s="25" t="s">
        <v>12</v>
      </c>
      <c r="J10" s="25" t="s">
        <v>327</v>
      </c>
      <c r="K10" s="25" t="s">
        <v>351</v>
      </c>
      <c r="L10" s="25" t="s">
        <v>617</v>
      </c>
      <c r="M10" s="25" t="s">
        <v>618</v>
      </c>
      <c r="N10" s="25"/>
      <c r="O10" s="25"/>
      <c r="P10" s="25"/>
      <c r="Q10" s="24" t="s">
        <v>619</v>
      </c>
      <c r="R10" s="26" t="s">
        <v>620</v>
      </c>
      <c r="S10" s="26" t="s">
        <v>621</v>
      </c>
      <c r="T10" s="26" t="s">
        <v>622</v>
      </c>
      <c r="U10" s="27" t="s">
        <v>623</v>
      </c>
      <c r="V10" s="20">
        <f>IF(I10 &lt;&gt; "", VLOOKUP(I10, City!$A$1:$B$2, 2, FALSE), "" )</f>
        <v>79</v>
      </c>
      <c r="W10" s="20">
        <f>IF(J10 &lt;&gt; "", VLOOKUP(J10, District!$A$1:$B$25, 2, FALSE), "")</f>
        <v>760</v>
      </c>
      <c r="X10" s="21">
        <f>IF(K10 &lt;&gt; "", VLOOKUP(K10, IF(J10="Quận 1", Ward!$A$2:$B$11, IF(J10="Quận 2", Ward!$C$2:$D$12, IF(J10="Quận 3", Ward!$E$2:$F$15, IF(J10="Quận 4", Ward!$G$2:$H$16, IF(J10="Quận 5", Ward!$I$2:$J$16, IF(J10="Quận 6", Ward!$K$2:$L$15, IF(J10="Quận 7", Ward!$M$2:$N$11, IF(J10="Quận 8", Ward!$O$2:$P$17, IF(J10="Quận 9", Ward!$Q$2:$R$14, IF(J10="Quận 10", Ward!$S$2:$T$16, IF(J10="Quận 11", Ward!$U$2:$V$17, IF(J10="Quận 12", Ward!$W$2:$X$12, IF(J10="Huyện Bình Chánh", Ward!$Y$2:$Z$17, IF(J10="Quận Bình Tân", Ward!$AA$2:$AB$11, IF(J10="Quận Bình Thạnh", Ward!$AC$2:$AD$21, IF(J10="Huyện Cần Giờ", Ward!$AE$2:$AF$8, IF(J10="Huyện Củ Chi", Ward!$AG$2:$AH$22, IF(J10="Quận Gò Vấp", Ward!$AI$2:$AJ$17, IF(J10="Huyện Hóc Môn", Ward!$AK$2:$AL$13, IF(J10="Huyện Nhà Bè", Ward!$AM$2:$AN$8, IF(J10="Quận Phú Nhuận", Ward!$AO$2:$AP$16, IF(J10="Quận Tân Bình", Ward!$AQ$2:$AR$16, IF(J10="Quận Tân Phú", Ward!$AS$2:$AT$12, IF(J10="Quận Thủ Đức", Ward!$AU$2:$AV$13)))))))))))))))))))))))), 2, FALSE), "")</f>
        <v>26737</v>
      </c>
      <c r="Y10" s="20">
        <f>IF(B10 &lt;&gt; "", VLOOKUP(B10, HospitalType!$A$2:$B$9, 2, FALSE), "")</f>
        <v>4</v>
      </c>
    </row>
    <row r="11" spans="1:25" ht="75" x14ac:dyDescent="0.25">
      <c r="A11" s="34" t="s">
        <v>629</v>
      </c>
      <c r="B11" s="24" t="s">
        <v>316</v>
      </c>
      <c r="C11" s="33" t="s">
        <v>613</v>
      </c>
      <c r="D11" s="33" t="s">
        <v>614</v>
      </c>
      <c r="E11" s="24" t="b">
        <v>0</v>
      </c>
      <c r="F11" s="24"/>
      <c r="G11" s="25" t="s">
        <v>624</v>
      </c>
      <c r="H11" s="25" t="s">
        <v>625</v>
      </c>
      <c r="I11" s="25" t="s">
        <v>12</v>
      </c>
      <c r="J11" s="25" t="s">
        <v>342</v>
      </c>
      <c r="K11" s="25" t="s">
        <v>378</v>
      </c>
      <c r="L11" s="25" t="s">
        <v>617</v>
      </c>
      <c r="M11" s="25" t="s">
        <v>618</v>
      </c>
      <c r="N11" s="25"/>
      <c r="O11" s="25"/>
      <c r="P11" s="25"/>
      <c r="Q11" s="24" t="s">
        <v>619</v>
      </c>
      <c r="R11" s="26" t="s">
        <v>620</v>
      </c>
      <c r="S11" s="26" t="s">
        <v>621</v>
      </c>
      <c r="T11" s="26" t="s">
        <v>622</v>
      </c>
      <c r="U11" s="27" t="s">
        <v>623</v>
      </c>
      <c r="V11" s="20">
        <f>IF(I11 &lt;&gt; "", VLOOKUP(I11, City!$A$1:$B$2, 2, FALSE), "" )</f>
        <v>79</v>
      </c>
      <c r="W11" s="20">
        <f>IF(J11 &lt;&gt; "", VLOOKUP(J11, District!$A$1:$B$25, 2, FALSE), "")</f>
        <v>768</v>
      </c>
      <c r="X11" s="21" t="str">
        <f>IF(K11 &lt;&gt; "", VLOOKUP(K11, IF(J11="Quận 1", Ward!$A$2:$B$11, IF(J11="Quận 2", Ward!$C$2:$D$12, IF(J11="Quận 3", Ward!$E$2:$F$15, IF(J11="Quận 4", Ward!$G$2:$H$16, IF(J11="Quận 5", Ward!$I$2:$J$16, IF(J11="Quận 6", Ward!$K$2:$L$15, IF(J11="Quận 7", Ward!$M$2:$N$11, IF(J11="Quận 8", Ward!$O$2:$P$17, IF(J11="Quận 9", Ward!$Q$2:$R$14, IF(J11="Quận 10", Ward!$S$2:$T$16, IF(J11="Quận 11", Ward!$U$2:$V$17, IF(J11="Quận 12", Ward!$W$2:$X$12, IF(J11="Huyện Bình Chánh", Ward!$Y$2:$Z$17, IF(J11="Quận Bình Tân", Ward!$AA$2:$AB$11, IF(J11="Quận Bình Thạnh", Ward!$AC$2:$AD$21, IF(J11="Huyện Cần Giờ", Ward!$AE$2:$AF$8, IF(J11="Huyện Củ Chi", Ward!$AG$2:$AH$22, IF(J11="Quận Gò Vấp", Ward!$AI$2:$AJ$17, IF(J11="Huyện Hóc Môn", Ward!$AK$2:$AL$13, IF(J11="Huyện Nhà Bè", Ward!$AM$2:$AN$8, IF(J11="Quận Phú Nhuận", Ward!$AO$2:$AP$16, IF(J11="Quận Tân Bình", Ward!$AQ$2:$AR$16, IF(J11="Quận Tân Phú", Ward!$AS$2:$AT$12, IF(J11="Quận Thủ Đức", Ward!$AU$2:$AV$13)))))))))))))))))))))))), 2, FALSE), "")</f>
        <v>27082</v>
      </c>
      <c r="Y11" s="20">
        <f>IF(B11 &lt;&gt; "", VLOOKUP(B11, HospitalType!$A$2:$B$9, 2, FALSE), "")</f>
        <v>4</v>
      </c>
    </row>
    <row r="12" spans="1:25" x14ac:dyDescent="0.25">
      <c r="A12" s="34" t="s">
        <v>630</v>
      </c>
      <c r="B12" s="24" t="s">
        <v>311</v>
      </c>
      <c r="C12" s="24" t="s">
        <v>631</v>
      </c>
      <c r="D12" s="24" t="s">
        <v>632</v>
      </c>
      <c r="E12" s="24" t="b">
        <v>0</v>
      </c>
      <c r="F12" s="24"/>
      <c r="G12" s="25" t="s">
        <v>633</v>
      </c>
      <c r="H12" s="25" t="s">
        <v>634</v>
      </c>
      <c r="I12" s="25" t="s">
        <v>12</v>
      </c>
      <c r="J12" s="25" t="s">
        <v>327</v>
      </c>
      <c r="K12" s="25" t="s">
        <v>346</v>
      </c>
      <c r="L12" s="25" t="s">
        <v>635</v>
      </c>
      <c r="M12" s="25" t="s">
        <v>636</v>
      </c>
      <c r="N12" s="25"/>
      <c r="O12" s="25"/>
      <c r="P12" s="25" t="s">
        <v>637</v>
      </c>
      <c r="Q12" s="24" t="s">
        <v>562</v>
      </c>
      <c r="R12" s="26" t="s">
        <v>638</v>
      </c>
      <c r="S12" s="26" t="s">
        <v>261</v>
      </c>
      <c r="T12" s="26"/>
      <c r="U12" s="27"/>
      <c r="V12" s="20">
        <f>IF(I12 &lt;&gt; "", VLOOKUP(I12, City!$A$1:$B$2, 2, FALSE), "" )</f>
        <v>79</v>
      </c>
      <c r="W12" s="20">
        <f>IF(J12 &lt;&gt; "", VLOOKUP(J12, District!$A$1:$B$25, 2, FALSE), "")</f>
        <v>760</v>
      </c>
      <c r="X12" s="21">
        <f>IF(K12 &lt;&gt; "", VLOOKUP(K12, IF(J12="Quận 1", Ward!$A$2:$B$11, IF(J12="Quận 2", Ward!$C$2:$D$12, IF(J12="Quận 3", Ward!$E$2:$F$15, IF(J12="Quận 4", Ward!$G$2:$H$16, IF(J12="Quận 5", Ward!$I$2:$J$16, IF(J12="Quận 6", Ward!$K$2:$L$15, IF(J12="Quận 7", Ward!$M$2:$N$11, IF(J12="Quận 8", Ward!$O$2:$P$17, IF(J12="Quận 9", Ward!$Q$2:$R$14, IF(J12="Quận 10", Ward!$S$2:$T$16, IF(J12="Quận 11", Ward!$U$2:$V$17, IF(J12="Quận 12", Ward!$W$2:$X$12, IF(J12="Huyện Bình Chánh", Ward!$Y$2:$Z$17, IF(J12="Quận Bình Tân", Ward!$AA$2:$AB$11, IF(J12="Quận Bình Thạnh", Ward!$AC$2:$AD$21, IF(J12="Huyện Cần Giờ", Ward!$AE$2:$AF$8, IF(J12="Huyện Củ Chi", Ward!$AG$2:$AH$22, IF(J12="Quận Gò Vấp", Ward!$AI$2:$AJ$17, IF(J12="Huyện Hóc Môn", Ward!$AK$2:$AL$13, IF(J12="Huyện Nhà Bè", Ward!$AM$2:$AN$8, IF(J12="Quận Phú Nhuận", Ward!$AO$2:$AP$16, IF(J12="Quận Tân Bình", Ward!$AQ$2:$AR$16, IF(J12="Quận Tân Phú", Ward!$AS$2:$AT$12, IF(J12="Quận Thủ Đức", Ward!$AU$2:$AV$13)))))))))))))))))))))))), 2, FALSE), "")</f>
        <v>26740</v>
      </c>
      <c r="Y12" s="20">
        <f>IF(B12 &lt;&gt; "", VLOOKUP(B12, HospitalType!$A$2:$B$9, 2, FALSE), "")</f>
        <v>3</v>
      </c>
    </row>
    <row r="13" spans="1:25" ht="60" x14ac:dyDescent="0.25">
      <c r="A13" s="34" t="s">
        <v>639</v>
      </c>
      <c r="B13" s="24" t="s">
        <v>314</v>
      </c>
      <c r="C13" s="24" t="s">
        <v>640</v>
      </c>
      <c r="D13" s="24" t="s">
        <v>640</v>
      </c>
      <c r="E13" s="24" t="b">
        <v>0</v>
      </c>
      <c r="F13" s="24"/>
      <c r="G13" s="25" t="s">
        <v>641</v>
      </c>
      <c r="H13" s="25" t="s">
        <v>642</v>
      </c>
      <c r="I13" s="25" t="s">
        <v>12</v>
      </c>
      <c r="J13" s="25" t="s">
        <v>334</v>
      </c>
      <c r="K13" s="25" t="s">
        <v>373</v>
      </c>
      <c r="L13" s="25" t="s">
        <v>643</v>
      </c>
      <c r="M13" s="25" t="s">
        <v>644</v>
      </c>
      <c r="N13" s="25"/>
      <c r="O13" s="25"/>
      <c r="P13" s="25" t="s">
        <v>645</v>
      </c>
      <c r="Q13" s="24" t="s">
        <v>646</v>
      </c>
      <c r="R13" s="26" t="s">
        <v>647</v>
      </c>
      <c r="S13" s="26" t="s">
        <v>648</v>
      </c>
      <c r="T13" s="26" t="s">
        <v>649</v>
      </c>
      <c r="U13" s="27" t="s">
        <v>650</v>
      </c>
      <c r="V13" s="20">
        <f>IF(I13 &lt;&gt; "", VLOOKUP(I13, City!$A$1:$B$2, 2, FALSE), "" )</f>
        <v>79</v>
      </c>
      <c r="W13" s="20">
        <f>IF(J13 &lt;&gt; "", VLOOKUP(J13, District!$A$1:$B$25, 2, FALSE), "")</f>
        <v>774</v>
      </c>
      <c r="X13" s="21" t="str">
        <f>IF(K13 &lt;&gt; "", VLOOKUP(K13, IF(J13="Quận 1", Ward!$A$2:$B$11, IF(J13="Quận 2", Ward!$C$2:$D$12, IF(J13="Quận 3", Ward!$E$2:$F$15, IF(J13="Quận 4", Ward!$G$2:$H$16, IF(J13="Quận 5", Ward!$I$2:$J$16, IF(J13="Quận 6", Ward!$K$2:$L$15, IF(J13="Quận 7", Ward!$M$2:$N$11, IF(J13="Quận 8", Ward!$O$2:$P$17, IF(J13="Quận 9", Ward!$Q$2:$R$14, IF(J13="Quận 10", Ward!$S$2:$T$16, IF(J13="Quận 11", Ward!$U$2:$V$17, IF(J13="Quận 12", Ward!$W$2:$X$12, IF(J13="Huyện Bình Chánh", Ward!$Y$2:$Z$17, IF(J13="Quận Bình Tân", Ward!$AA$2:$AB$11, IF(J13="Quận Bình Thạnh", Ward!$AC$2:$AD$21, IF(J13="Huyện Cần Giờ", Ward!$AE$2:$AF$8, IF(J13="Huyện Củ Chi", Ward!$AG$2:$AH$22, IF(J13="Quận Gò Vấp", Ward!$AI$2:$AJ$17, IF(J13="Huyện Hóc Môn", Ward!$AK$2:$AL$13, IF(J13="Huyện Nhà Bè", Ward!$AM$2:$AN$8, IF(J13="Quận Phú Nhuận", Ward!$AO$2:$AP$16, IF(J13="Quận Tân Bình", Ward!$AQ$2:$AR$16, IF(J13="Quận Tân Phú", Ward!$AS$2:$AT$12, IF(J13="Quận Thủ Đức", Ward!$AU$2:$AV$13)))))))))))))))))))))))), 2, FALSE), "")</f>
        <v>27322</v>
      </c>
      <c r="Y13" s="20">
        <f>IF(B13 &lt;&gt; "", VLOOKUP(B13, HospitalType!$A$2:$B$9, 2, FALSE), "")</f>
        <v>2</v>
      </c>
    </row>
    <row r="14" spans="1:25" ht="150" x14ac:dyDescent="0.25">
      <c r="A14" s="34" t="s">
        <v>651</v>
      </c>
      <c r="B14" s="24" t="s">
        <v>310</v>
      </c>
      <c r="C14" s="24" t="s">
        <v>653</v>
      </c>
      <c r="D14" s="24" t="s">
        <v>653</v>
      </c>
      <c r="E14" s="24" t="b">
        <v>0</v>
      </c>
      <c r="F14" s="24"/>
      <c r="G14" s="25" t="s">
        <v>654</v>
      </c>
      <c r="H14" s="25" t="s">
        <v>655</v>
      </c>
      <c r="I14" s="25" t="s">
        <v>12</v>
      </c>
      <c r="J14" s="25" t="s">
        <v>334</v>
      </c>
      <c r="K14" s="25" t="s">
        <v>378</v>
      </c>
      <c r="L14" s="25" t="s">
        <v>656</v>
      </c>
      <c r="M14" s="25" t="s">
        <v>657</v>
      </c>
      <c r="N14" s="25"/>
      <c r="O14" s="25"/>
      <c r="P14" s="25" t="s">
        <v>658</v>
      </c>
      <c r="Q14" s="24" t="s">
        <v>659</v>
      </c>
      <c r="R14" s="26" t="s">
        <v>660</v>
      </c>
      <c r="S14" s="26" t="s">
        <v>670</v>
      </c>
      <c r="T14" s="26" t="s">
        <v>661</v>
      </c>
      <c r="U14" s="27" t="s">
        <v>662</v>
      </c>
      <c r="V14" s="20">
        <f>IF(I14 &lt;&gt; "", VLOOKUP(I14, City!$A$1:$B$2, 2, FALSE), "" )</f>
        <v>79</v>
      </c>
      <c r="W14" s="20">
        <f>IF(J14 &lt;&gt; "", VLOOKUP(J14, District!$A$1:$B$25, 2, FALSE), "")</f>
        <v>774</v>
      </c>
      <c r="X14" s="21" t="str">
        <f>IF(K14 &lt;&gt; "", VLOOKUP(K14, IF(J14="Quận 1", Ward!$A$2:$B$11, IF(J14="Quận 2", Ward!$C$2:$D$12, IF(J14="Quận 3", Ward!$E$2:$F$15, IF(J14="Quận 4", Ward!$G$2:$H$16, IF(J14="Quận 5", Ward!$I$2:$J$16, IF(J14="Quận 6", Ward!$K$2:$L$15, IF(J14="Quận 7", Ward!$M$2:$N$11, IF(J14="Quận 8", Ward!$O$2:$P$17, IF(J14="Quận 9", Ward!$Q$2:$R$14, IF(J14="Quận 10", Ward!$S$2:$T$16, IF(J14="Quận 11", Ward!$U$2:$V$17, IF(J14="Quận 12", Ward!$W$2:$X$12, IF(J14="Huyện Bình Chánh", Ward!$Y$2:$Z$17, IF(J14="Quận Bình Tân", Ward!$AA$2:$AB$11, IF(J14="Quận Bình Thạnh", Ward!$AC$2:$AD$21, IF(J14="Huyện Cần Giờ", Ward!$AE$2:$AF$8, IF(J14="Huyện Củ Chi", Ward!$AG$2:$AH$22, IF(J14="Quận Gò Vấp", Ward!$AI$2:$AJ$17, IF(J14="Huyện Hóc Môn", Ward!$AK$2:$AL$13, IF(J14="Huyện Nhà Bè", Ward!$AM$2:$AN$8, IF(J14="Quận Phú Nhuận", Ward!$AO$2:$AP$16, IF(J14="Quận Tân Bình", Ward!$AQ$2:$AR$16, IF(J14="Quận Tân Phú", Ward!$AS$2:$AT$12, IF(J14="Quận Thủ Đức", Ward!$AU$2:$AV$13)))))))))))))))))))))))), 2, FALSE), "")</f>
        <v>27310</v>
      </c>
      <c r="Y14" s="20">
        <f>IF(B14 &lt;&gt; "", VLOOKUP(B14, HospitalType!$A$2:$B$9, 2, FALSE), "")</f>
        <v>1</v>
      </c>
    </row>
    <row r="15" spans="1:25" ht="90" x14ac:dyDescent="0.25">
      <c r="A15" s="34" t="s">
        <v>663</v>
      </c>
      <c r="B15" s="24" t="s">
        <v>310</v>
      </c>
      <c r="C15" s="24" t="s">
        <v>664</v>
      </c>
      <c r="D15" s="24" t="s">
        <v>664</v>
      </c>
      <c r="E15" s="24" t="b">
        <v>0</v>
      </c>
      <c r="F15" s="24"/>
      <c r="G15" s="25" t="s">
        <v>665</v>
      </c>
      <c r="H15" s="25" t="s">
        <v>666</v>
      </c>
      <c r="I15" s="25" t="s">
        <v>12</v>
      </c>
      <c r="J15" s="25" t="s">
        <v>327</v>
      </c>
      <c r="K15" s="25" t="s">
        <v>347</v>
      </c>
      <c r="L15" s="25" t="s">
        <v>668</v>
      </c>
      <c r="M15" s="25" t="s">
        <v>667</v>
      </c>
      <c r="N15" s="25"/>
      <c r="O15" s="25"/>
      <c r="P15" s="25" t="s">
        <v>669</v>
      </c>
      <c r="Q15" s="24"/>
      <c r="R15" s="26" t="s">
        <v>676</v>
      </c>
      <c r="S15" s="26" t="s">
        <v>671</v>
      </c>
      <c r="T15" s="26" t="s">
        <v>679</v>
      </c>
      <c r="U15" s="27" t="s">
        <v>687</v>
      </c>
      <c r="V15" s="20">
        <f>IF(I15 &lt;&gt; "", VLOOKUP(I15, City!$A$1:$B$2, 2, FALSE), "" )</f>
        <v>79</v>
      </c>
      <c r="W15" s="20">
        <f>IF(J15 &lt;&gt; "", VLOOKUP(J15, District!$A$1:$B$25, 2, FALSE), "")</f>
        <v>760</v>
      </c>
      <c r="X15" s="21">
        <f>IF(K15 &lt;&gt; "", VLOOKUP(K15, IF(J15="Quận 1", Ward!$A$2:$B$11, IF(J15="Quận 2", Ward!$C$2:$D$12, IF(J15="Quận 3", Ward!$E$2:$F$15, IF(J15="Quận 4", Ward!$G$2:$H$16, IF(J15="Quận 5", Ward!$I$2:$J$16, IF(J15="Quận 6", Ward!$K$2:$L$15, IF(J15="Quận 7", Ward!$M$2:$N$11, IF(J15="Quận 8", Ward!$O$2:$P$17, IF(J15="Quận 9", Ward!$Q$2:$R$14, IF(J15="Quận 10", Ward!$S$2:$T$16, IF(J15="Quận 11", Ward!$U$2:$V$17, IF(J15="Quận 12", Ward!$W$2:$X$12, IF(J15="Huyện Bình Chánh", Ward!$Y$2:$Z$17, IF(J15="Quận Bình Tân", Ward!$AA$2:$AB$11, IF(J15="Quận Bình Thạnh", Ward!$AC$2:$AD$21, IF(J15="Huyện Cần Giờ", Ward!$AE$2:$AF$8, IF(J15="Huyện Củ Chi", Ward!$AG$2:$AH$22, IF(J15="Quận Gò Vấp", Ward!$AI$2:$AJ$17, IF(J15="Huyện Hóc Môn", Ward!$AK$2:$AL$13, IF(J15="Huyện Nhà Bè", Ward!$AM$2:$AN$8, IF(J15="Quận Phú Nhuận", Ward!$AO$2:$AP$16, IF(J15="Quận Tân Bình", Ward!$AQ$2:$AR$16, IF(J15="Quận Tân Phú", Ward!$AS$2:$AT$12, IF(J15="Quận Thủ Đức", Ward!$AU$2:$AV$13)))))))))))))))))))))))), 2, FALSE), "")</f>
        <v>26743</v>
      </c>
      <c r="Y15" s="20">
        <f>IF(B15 &lt;&gt; "", VLOOKUP(B15, HospitalType!$A$2:$B$9, 2, FALSE), "")</f>
        <v>1</v>
      </c>
    </row>
    <row r="16" spans="1:25" ht="75" x14ac:dyDescent="0.25">
      <c r="A16" s="34" t="s">
        <v>672</v>
      </c>
      <c r="B16" s="24" t="s">
        <v>310</v>
      </c>
      <c r="C16" s="24" t="s">
        <v>553</v>
      </c>
      <c r="D16" s="24" t="s">
        <v>553</v>
      </c>
      <c r="E16" s="24" t="b">
        <v>0</v>
      </c>
      <c r="F16" s="24"/>
      <c r="G16" s="25" t="s">
        <v>673</v>
      </c>
      <c r="H16" s="25" t="s">
        <v>674</v>
      </c>
      <c r="I16" s="25" t="s">
        <v>12</v>
      </c>
      <c r="J16" s="25" t="s">
        <v>334</v>
      </c>
      <c r="K16" s="25" t="s">
        <v>373</v>
      </c>
      <c r="L16" s="25" t="s">
        <v>675</v>
      </c>
      <c r="M16" s="25"/>
      <c r="N16" s="25"/>
      <c r="O16" s="25"/>
      <c r="P16" s="25"/>
      <c r="Q16" s="24"/>
      <c r="R16" s="26" t="s">
        <v>677</v>
      </c>
      <c r="S16" s="26" t="s">
        <v>678</v>
      </c>
      <c r="T16" s="26" t="s">
        <v>680</v>
      </c>
      <c r="U16" s="27" t="s">
        <v>688</v>
      </c>
      <c r="V16" s="20">
        <f>IF(I16 &lt;&gt; "", VLOOKUP(I16, City!$A$1:$B$2, 2, FALSE), "" )</f>
        <v>79</v>
      </c>
      <c r="W16" s="20">
        <f>IF(J16 &lt;&gt; "", VLOOKUP(J16, District!$A$1:$B$25, 2, FALSE), "")</f>
        <v>774</v>
      </c>
      <c r="X16" s="21" t="str">
        <f>IF(K16 &lt;&gt; "", VLOOKUP(K16, IF(J16="Quận 1", Ward!$A$2:$B$11, IF(J16="Quận 2", Ward!$C$2:$D$12, IF(J16="Quận 3", Ward!$E$2:$F$15, IF(J16="Quận 4", Ward!$G$2:$H$16, IF(J16="Quận 5", Ward!$I$2:$J$16, IF(J16="Quận 6", Ward!$K$2:$L$15, IF(J16="Quận 7", Ward!$M$2:$N$11, IF(J16="Quận 8", Ward!$O$2:$P$17, IF(J16="Quận 9", Ward!$Q$2:$R$14, IF(J16="Quận 10", Ward!$S$2:$T$16, IF(J16="Quận 11", Ward!$U$2:$V$17, IF(J16="Quận 12", Ward!$W$2:$X$12, IF(J16="Huyện Bình Chánh", Ward!$Y$2:$Z$17, IF(J16="Quận Bình Tân", Ward!$AA$2:$AB$11, IF(J16="Quận Bình Thạnh", Ward!$AC$2:$AD$21, IF(J16="Huyện Cần Giờ", Ward!$AE$2:$AF$8, IF(J16="Huyện Củ Chi", Ward!$AG$2:$AH$22, IF(J16="Quận Gò Vấp", Ward!$AI$2:$AJ$17, IF(J16="Huyện Hóc Môn", Ward!$AK$2:$AL$13, IF(J16="Huyện Nhà Bè", Ward!$AM$2:$AN$8, IF(J16="Quận Phú Nhuận", Ward!$AO$2:$AP$16, IF(J16="Quận Tân Bình", Ward!$AQ$2:$AR$16, IF(J16="Quận Tân Phú", Ward!$AS$2:$AT$12, IF(J16="Quận Thủ Đức", Ward!$AU$2:$AV$13)))))))))))))))))))))))), 2, FALSE), "")</f>
        <v>27322</v>
      </c>
      <c r="Y16" s="20">
        <f>IF(B16 &lt;&gt; "", VLOOKUP(B16, HospitalType!$A$2:$B$9, 2, FALSE), "")</f>
        <v>1</v>
      </c>
    </row>
    <row r="17" spans="1:25" ht="90" x14ac:dyDescent="0.25">
      <c r="A17" s="34" t="s">
        <v>681</v>
      </c>
      <c r="B17" s="24" t="s">
        <v>310</v>
      </c>
      <c r="C17" s="33" t="s">
        <v>652</v>
      </c>
      <c r="D17" s="33" t="s">
        <v>652</v>
      </c>
      <c r="E17" s="24" t="b">
        <v>0</v>
      </c>
      <c r="F17" s="24"/>
      <c r="G17" s="25" t="s">
        <v>597</v>
      </c>
      <c r="H17" s="25" t="s">
        <v>682</v>
      </c>
      <c r="I17" s="25" t="s">
        <v>12</v>
      </c>
      <c r="J17" s="25" t="s">
        <v>343</v>
      </c>
      <c r="K17" s="25" t="s">
        <v>373</v>
      </c>
      <c r="L17" s="25" t="s">
        <v>683</v>
      </c>
      <c r="M17" s="25"/>
      <c r="N17" s="25"/>
      <c r="O17" s="25"/>
      <c r="P17" s="25"/>
      <c r="Q17" s="24" t="s">
        <v>684</v>
      </c>
      <c r="R17" s="26" t="s">
        <v>690</v>
      </c>
      <c r="S17" s="26" t="s">
        <v>685</v>
      </c>
      <c r="T17" s="26" t="s">
        <v>686</v>
      </c>
      <c r="U17" s="27" t="s">
        <v>689</v>
      </c>
      <c r="V17" s="20">
        <f>IF(I17 &lt;&gt; "", VLOOKUP(I17, City!$A$1:$B$2, 2, FALSE), "" )</f>
        <v>79</v>
      </c>
      <c r="W17" s="20">
        <f>IF(J17 &lt;&gt; "", VLOOKUP(J17, District!$A$1:$B$25, 2, FALSE), "")</f>
        <v>766</v>
      </c>
      <c r="X17" s="21" t="str">
        <f>IF(K17 &lt;&gt; "", VLOOKUP(K17, IF(J17="Quận 1", Ward!$A$2:$B$11, IF(J17="Quận 2", Ward!$C$2:$D$12, IF(J17="Quận 3", Ward!$E$2:$F$15, IF(J17="Quận 4", Ward!$G$2:$H$16, IF(J17="Quận 5", Ward!$I$2:$J$16, IF(J17="Quận 6", Ward!$K$2:$L$15, IF(J17="Quận 7", Ward!$M$2:$N$11, IF(J17="Quận 8", Ward!$O$2:$P$17, IF(J17="Quận 9", Ward!$Q$2:$R$14, IF(J17="Quận 10", Ward!$S$2:$T$16, IF(J17="Quận 11", Ward!$U$2:$V$17, IF(J17="Quận 12", Ward!$W$2:$X$12, IF(J17="Huyện Bình Chánh", Ward!$Y$2:$Z$17, IF(J17="Quận Bình Tân", Ward!$AA$2:$AB$11, IF(J17="Quận Bình Thạnh", Ward!$AC$2:$AD$21, IF(J17="Huyện Cần Giờ", Ward!$AE$2:$AF$8, IF(J17="Huyện Củ Chi", Ward!$AG$2:$AH$22, IF(J17="Quận Gò Vấp", Ward!$AI$2:$AJ$17, IF(J17="Huyện Hóc Môn", Ward!$AK$2:$AL$13, IF(J17="Huyện Nhà Bè", Ward!$AM$2:$AN$8, IF(J17="Quận Phú Nhuận", Ward!$AO$2:$AP$16, IF(J17="Quận Tân Bình", Ward!$AQ$2:$AR$16, IF(J17="Quận Tân Phú", Ward!$AS$2:$AT$12, IF(J17="Quận Thủ Đức", Ward!$AU$2:$AV$13)))))))))))))))))))))))), 2, FALSE), "")</f>
        <v>26986</v>
      </c>
      <c r="Y17" s="20">
        <f>IF(B17 &lt;&gt; "", VLOOKUP(B17, HospitalType!$A$2:$B$9, 2, FALSE), "")</f>
        <v>1</v>
      </c>
    </row>
    <row r="18" spans="1:25" ht="75" x14ac:dyDescent="0.25">
      <c r="A18" s="34" t="s">
        <v>691</v>
      </c>
      <c r="B18" s="24" t="s">
        <v>310</v>
      </c>
      <c r="C18" s="33" t="s">
        <v>692</v>
      </c>
      <c r="D18" s="33" t="s">
        <v>692</v>
      </c>
      <c r="E18" s="24" t="b">
        <v>0</v>
      </c>
      <c r="F18" s="24"/>
      <c r="G18" s="25" t="s">
        <v>693</v>
      </c>
      <c r="H18" s="25" t="s">
        <v>694</v>
      </c>
      <c r="I18" s="25" t="s">
        <v>12</v>
      </c>
      <c r="J18" s="25" t="s">
        <v>334</v>
      </c>
      <c r="K18" s="25" t="s">
        <v>374</v>
      </c>
      <c r="L18" s="25" t="s">
        <v>695</v>
      </c>
      <c r="M18" s="25" t="s">
        <v>696</v>
      </c>
      <c r="N18" s="25"/>
      <c r="O18" s="25"/>
      <c r="P18" s="25"/>
      <c r="Q18" s="24"/>
      <c r="R18" s="26" t="s">
        <v>697</v>
      </c>
      <c r="S18" s="26" t="s">
        <v>698</v>
      </c>
      <c r="T18" s="26" t="s">
        <v>699</v>
      </c>
      <c r="U18" s="27"/>
      <c r="V18" s="20">
        <f>IF(I18 &lt;&gt; "", VLOOKUP(I18, City!$A$1:$B$2, 2, FALSE), "" )</f>
        <v>79</v>
      </c>
      <c r="W18" s="20">
        <f>IF(J18 &lt;&gt; "", VLOOKUP(J18, District!$A$1:$B$25, 2, FALSE), "")</f>
        <v>774</v>
      </c>
      <c r="X18" s="21" t="str">
        <f>IF(K18 &lt;&gt; "", VLOOKUP(K18, IF(J18="Quận 1", Ward!$A$2:$B$11, IF(J18="Quận 2", Ward!$C$2:$D$12, IF(J18="Quận 3", Ward!$E$2:$F$15, IF(J18="Quận 4", Ward!$G$2:$H$16, IF(J18="Quận 5", Ward!$I$2:$J$16, IF(J18="Quận 6", Ward!$K$2:$L$15, IF(J18="Quận 7", Ward!$M$2:$N$11, IF(J18="Quận 8", Ward!$O$2:$P$17, IF(J18="Quận 9", Ward!$Q$2:$R$14, IF(J18="Quận 10", Ward!$S$2:$T$16, IF(J18="Quận 11", Ward!$U$2:$V$17, IF(J18="Quận 12", Ward!$W$2:$X$12, IF(J18="Huyện Bình Chánh", Ward!$Y$2:$Z$17, IF(J18="Quận Bình Tân", Ward!$AA$2:$AB$11, IF(J18="Quận Bình Thạnh", Ward!$AC$2:$AD$21, IF(J18="Huyện Cần Giờ", Ward!$AE$2:$AF$8, IF(J18="Huyện Củ Chi", Ward!$AG$2:$AH$22, IF(J18="Quận Gò Vấp", Ward!$AI$2:$AJ$17, IF(J18="Huyện Hóc Môn", Ward!$AK$2:$AL$13, IF(J18="Huyện Nhà Bè", Ward!$AM$2:$AN$8, IF(J18="Quận Phú Nhuận", Ward!$AO$2:$AP$16, IF(J18="Quận Tân Bình", Ward!$AQ$2:$AR$16, IF(J18="Quận Tân Phú", Ward!$AS$2:$AT$12, IF(J18="Quận Thủ Đức", Ward!$AU$2:$AV$13)))))))))))))))))))))))), 2, FALSE), "")</f>
        <v>27316</v>
      </c>
      <c r="Y18" s="20">
        <f>IF(B18 &lt;&gt; "", VLOOKUP(B18, HospitalType!$A$2:$B$9, 2, FALSE), "")</f>
        <v>1</v>
      </c>
    </row>
    <row r="19" spans="1:25" x14ac:dyDescent="0.25">
      <c r="A19" s="34"/>
      <c r="B19" s="24"/>
      <c r="C19" s="24"/>
      <c r="D19" s="24"/>
      <c r="E19" s="24"/>
      <c r="F19" s="24"/>
      <c r="G19" s="25"/>
      <c r="H19" s="25"/>
      <c r="I19" s="25"/>
      <c r="J19" s="25"/>
      <c r="K19" s="25"/>
      <c r="L19" s="25"/>
      <c r="M19" s="25"/>
      <c r="N19" s="25"/>
      <c r="O19" s="25"/>
      <c r="P19" s="25"/>
      <c r="Q19" s="24"/>
      <c r="R19" s="26"/>
      <c r="S19" s="26"/>
      <c r="T19" s="26"/>
      <c r="U19" s="27"/>
      <c r="V19" s="20" t="str">
        <f>IF(I19 &lt;&gt; "", VLOOKUP(I19, City!$A$1:$B$2, 2, FALSE), "" )</f>
        <v/>
      </c>
      <c r="W19" s="20" t="str">
        <f>IF(J19 &lt;&gt; "", VLOOKUP(J19, District!$A$1:$B$25, 2, FALSE), "")</f>
        <v/>
      </c>
      <c r="X19" s="21" t="str">
        <f>IF(K19 &lt;&gt; "", VLOOKUP(K19, IF(J19="Quận 1", Ward!$A$2:$B$11, IF(J19="Quận 2", Ward!$C$2:$D$12, IF(J19="Quận 3", Ward!$E$2:$F$15, IF(J19="Quận 4", Ward!$G$2:$H$16, IF(J19="Quận 5", Ward!$I$2:$J$16, IF(J19="Quận 6", Ward!$K$2:$L$15, IF(J19="Quận 7", Ward!$M$2:$N$11, IF(J19="Quận 8", Ward!$O$2:$P$17, IF(J19="Quận 9", Ward!$Q$2:$R$14, IF(J19="Quận 10", Ward!$S$2:$T$16, IF(J19="Quận 11", Ward!$U$2:$V$17, IF(J19="Quận 12", Ward!$W$2:$X$12, IF(J19="Huyện Bình Chánh", Ward!$Y$2:$Z$17, IF(J19="Quận Bình Tân", Ward!$AA$2:$AB$11, IF(J19="Quận Bình Thạnh", Ward!$AC$2:$AD$21, IF(J19="Huyện Cần Giờ", Ward!$AE$2:$AF$8, IF(J19="Huyện Củ Chi", Ward!$AG$2:$AH$22, IF(J19="Quận Gò Vấp", Ward!$AI$2:$AJ$17, IF(J19="Huyện Hóc Môn", Ward!$AK$2:$AL$13, IF(J19="Huyện Nhà Bè", Ward!$AM$2:$AN$8, IF(J19="Quận Phú Nhuận", Ward!$AO$2:$AP$16, IF(J19="Quận Tân Bình", Ward!$AQ$2:$AR$16, IF(J19="Quận Tân Phú", Ward!$AS$2:$AT$12, IF(J19="Quận Thủ Đức", Ward!$AU$2:$AV$13)))))))))))))))))))))))), 2, FALSE), "")</f>
        <v/>
      </c>
      <c r="Y19" s="20" t="str">
        <f>IF(B19 &lt;&gt; "", VLOOKUP(B19, HospitalType!$A$2:$B$9, 2, FALSE), "")</f>
        <v/>
      </c>
    </row>
    <row r="20" spans="1:25" x14ac:dyDescent="0.25">
      <c r="A20" s="34"/>
      <c r="B20" s="24"/>
      <c r="C20" s="24"/>
      <c r="D20" s="24"/>
      <c r="E20" s="24"/>
      <c r="F20" s="24"/>
      <c r="G20" s="25"/>
      <c r="H20" s="25"/>
      <c r="I20" s="25"/>
      <c r="J20" s="25"/>
      <c r="K20" s="25"/>
      <c r="L20" s="25"/>
      <c r="M20" s="25"/>
      <c r="N20" s="25"/>
      <c r="O20" s="25"/>
      <c r="P20" s="25"/>
      <c r="Q20" s="24"/>
      <c r="R20" s="26"/>
      <c r="S20" s="26"/>
      <c r="T20" s="26"/>
      <c r="U20" s="27"/>
      <c r="V20" s="20" t="str">
        <f>IF(I20 &lt;&gt; "", VLOOKUP(I20, City!$A$1:$B$2, 2, FALSE), "" )</f>
        <v/>
      </c>
      <c r="W20" s="20" t="str">
        <f>IF(J20 &lt;&gt; "", VLOOKUP(J20, District!$A$1:$B$25, 2, FALSE), "")</f>
        <v/>
      </c>
      <c r="X20" s="21" t="str">
        <f>IF(K20 &lt;&gt; "", VLOOKUP(K20, IF(J20="Quận 1", Ward!$A$2:$B$11, IF(J20="Quận 2", Ward!$C$2:$D$12, IF(J20="Quận 3", Ward!$E$2:$F$15, IF(J20="Quận 4", Ward!$G$2:$H$16, IF(J20="Quận 5", Ward!$I$2:$J$16, IF(J20="Quận 6", Ward!$K$2:$L$15, IF(J20="Quận 7", Ward!$M$2:$N$11, IF(J20="Quận 8", Ward!$O$2:$P$17, IF(J20="Quận 9", Ward!$Q$2:$R$14, IF(J20="Quận 10", Ward!$S$2:$T$16, IF(J20="Quận 11", Ward!$U$2:$V$17, IF(J20="Quận 12", Ward!$W$2:$X$12, IF(J20="Huyện Bình Chánh", Ward!$Y$2:$Z$17, IF(J20="Quận Bình Tân", Ward!$AA$2:$AB$11, IF(J20="Quận Bình Thạnh", Ward!$AC$2:$AD$21, IF(J20="Huyện Cần Giờ", Ward!$AE$2:$AF$8, IF(J20="Huyện Củ Chi", Ward!$AG$2:$AH$22, IF(J20="Quận Gò Vấp", Ward!$AI$2:$AJ$17, IF(J20="Huyện Hóc Môn", Ward!$AK$2:$AL$13, IF(J20="Huyện Nhà Bè", Ward!$AM$2:$AN$8, IF(J20="Quận Phú Nhuận", Ward!$AO$2:$AP$16, IF(J20="Quận Tân Bình", Ward!$AQ$2:$AR$16, IF(J20="Quận Tân Phú", Ward!$AS$2:$AT$12, IF(J20="Quận Thủ Đức", Ward!$AU$2:$AV$13)))))))))))))))))))))))), 2, FALSE), "")</f>
        <v/>
      </c>
      <c r="Y20" s="20" t="str">
        <f>IF(B20 &lt;&gt; "", VLOOKUP(B20, HospitalType!$A$2:$B$9, 2, FALSE), "")</f>
        <v/>
      </c>
    </row>
    <row r="21" spans="1:25" x14ac:dyDescent="0.25">
      <c r="A21" s="34"/>
      <c r="B21" s="24"/>
      <c r="C21" s="24"/>
      <c r="D21" s="24"/>
      <c r="E21" s="24"/>
      <c r="F21" s="24"/>
      <c r="G21" s="25"/>
      <c r="H21" s="25"/>
      <c r="I21" s="25"/>
      <c r="J21" s="25"/>
      <c r="K21" s="25"/>
      <c r="L21" s="25"/>
      <c r="M21" s="25"/>
      <c r="N21" s="25"/>
      <c r="O21" s="25"/>
      <c r="P21" s="25"/>
      <c r="Q21" s="24"/>
      <c r="R21" s="26"/>
      <c r="S21" s="26"/>
      <c r="T21" s="26"/>
      <c r="U21" s="27"/>
      <c r="V21" s="20" t="str">
        <f>IF(I21 &lt;&gt; "", VLOOKUP(I21, City!$A$1:$B$2, 2, FALSE), "" )</f>
        <v/>
      </c>
      <c r="W21" s="20" t="str">
        <f>IF(J21 &lt;&gt; "", VLOOKUP(J21, District!$A$1:$B$25, 2, FALSE), "")</f>
        <v/>
      </c>
      <c r="X21" s="21" t="str">
        <f>IF(K21 &lt;&gt; "", VLOOKUP(K21, IF(J21="Quận 1", Ward!$A$2:$B$11, IF(J21="Quận 2", Ward!$C$2:$D$12, IF(J21="Quận 3", Ward!$E$2:$F$15, IF(J21="Quận 4", Ward!$G$2:$H$16, IF(J21="Quận 5", Ward!$I$2:$J$16, IF(J21="Quận 6", Ward!$K$2:$L$15, IF(J21="Quận 7", Ward!$M$2:$N$11, IF(J21="Quận 8", Ward!$O$2:$P$17, IF(J21="Quận 9", Ward!$Q$2:$R$14, IF(J21="Quận 10", Ward!$S$2:$T$16, IF(J21="Quận 11", Ward!$U$2:$V$17, IF(J21="Quận 12", Ward!$W$2:$X$12, IF(J21="Huyện Bình Chánh", Ward!$Y$2:$Z$17, IF(J21="Quận Bình Tân", Ward!$AA$2:$AB$11, IF(J21="Quận Bình Thạnh", Ward!$AC$2:$AD$21, IF(J21="Huyện Cần Giờ", Ward!$AE$2:$AF$8, IF(J21="Huyện Củ Chi", Ward!$AG$2:$AH$22, IF(J21="Quận Gò Vấp", Ward!$AI$2:$AJ$17, IF(J21="Huyện Hóc Môn", Ward!$AK$2:$AL$13, IF(J21="Huyện Nhà Bè", Ward!$AM$2:$AN$8, IF(J21="Quận Phú Nhuận", Ward!$AO$2:$AP$16, IF(J21="Quận Tân Bình", Ward!$AQ$2:$AR$16, IF(J21="Quận Tân Phú", Ward!$AS$2:$AT$12, IF(J21="Quận Thủ Đức", Ward!$AU$2:$AV$13)))))))))))))))))))))))), 2, FALSE), "")</f>
        <v/>
      </c>
      <c r="Y21" s="20" t="str">
        <f>IF(B21 &lt;&gt; "", VLOOKUP(B21, HospitalType!$A$2:$B$9, 2, FALSE), "")</f>
        <v/>
      </c>
    </row>
    <row r="22" spans="1:25" x14ac:dyDescent="0.25">
      <c r="A22" s="34"/>
      <c r="B22" s="24"/>
      <c r="C22" s="24"/>
      <c r="D22" s="24"/>
      <c r="E22" s="24"/>
      <c r="F22" s="24"/>
      <c r="G22" s="25"/>
      <c r="H22" s="25"/>
      <c r="I22" s="25"/>
      <c r="J22" s="25"/>
      <c r="K22" s="25"/>
      <c r="L22" s="25"/>
      <c r="M22" s="25"/>
      <c r="N22" s="25"/>
      <c r="O22" s="25"/>
      <c r="P22" s="25"/>
      <c r="Q22" s="24"/>
      <c r="R22" s="26"/>
      <c r="S22" s="26"/>
      <c r="T22" s="26"/>
      <c r="U22" s="27"/>
      <c r="V22" s="20" t="str">
        <f>IF(I22 &lt;&gt; "", VLOOKUP(I22, City!$A$1:$B$2, 2, FALSE), "" )</f>
        <v/>
      </c>
      <c r="W22" s="20" t="str">
        <f>IF(J22 &lt;&gt; "", VLOOKUP(J22, District!$A$1:$B$25, 2, FALSE), "")</f>
        <v/>
      </c>
      <c r="X22" s="21" t="str">
        <f>IF(K22 &lt;&gt; "", VLOOKUP(K22, IF(J22="Quận 1", Ward!$A$2:$B$11, IF(J22="Quận 2", Ward!$C$2:$D$12, IF(J22="Quận 3", Ward!$E$2:$F$15, IF(J22="Quận 4", Ward!$G$2:$H$16, IF(J22="Quận 5", Ward!$I$2:$J$16, IF(J22="Quận 6", Ward!$K$2:$L$15, IF(J22="Quận 7", Ward!$M$2:$N$11, IF(J22="Quận 8", Ward!$O$2:$P$17, IF(J22="Quận 9", Ward!$Q$2:$R$14, IF(J22="Quận 10", Ward!$S$2:$T$16, IF(J22="Quận 11", Ward!$U$2:$V$17, IF(J22="Quận 12", Ward!$W$2:$X$12, IF(J22="Huyện Bình Chánh", Ward!$Y$2:$Z$17, IF(J22="Quận Bình Tân", Ward!$AA$2:$AB$11, IF(J22="Quận Bình Thạnh", Ward!$AC$2:$AD$21, IF(J22="Huyện Cần Giờ", Ward!$AE$2:$AF$8, IF(J22="Huyện Củ Chi", Ward!$AG$2:$AH$22, IF(J22="Quận Gò Vấp", Ward!$AI$2:$AJ$17, IF(J22="Huyện Hóc Môn", Ward!$AK$2:$AL$13, IF(J22="Huyện Nhà Bè", Ward!$AM$2:$AN$8, IF(J22="Quận Phú Nhuận", Ward!$AO$2:$AP$16, IF(J22="Quận Tân Bình", Ward!$AQ$2:$AR$16, IF(J22="Quận Tân Phú", Ward!$AS$2:$AT$12, IF(J22="Quận Thủ Đức", Ward!$AU$2:$AV$13)))))))))))))))))))))))), 2, FALSE), "")</f>
        <v/>
      </c>
      <c r="Y22" s="20" t="str">
        <f>IF(B22 &lt;&gt; "", VLOOKUP(B22, HospitalType!$A$2:$B$9, 2, FALSE), "")</f>
        <v/>
      </c>
    </row>
    <row r="23" spans="1:25" x14ac:dyDescent="0.25">
      <c r="A23" s="34"/>
      <c r="B23" s="24"/>
      <c r="C23" s="24"/>
      <c r="D23" s="24"/>
      <c r="E23" s="24"/>
      <c r="F23" s="24"/>
      <c r="G23" s="25"/>
      <c r="H23" s="25"/>
      <c r="I23" s="25"/>
      <c r="J23" s="25"/>
      <c r="K23" s="25"/>
      <c r="L23" s="25"/>
      <c r="M23" s="25"/>
      <c r="N23" s="25"/>
      <c r="O23" s="25"/>
      <c r="P23" s="25"/>
      <c r="Q23" s="24"/>
      <c r="R23" s="26"/>
      <c r="S23" s="26"/>
      <c r="T23" s="26"/>
      <c r="U23" s="27"/>
      <c r="V23" s="20" t="str">
        <f>IF(I23 &lt;&gt; "", VLOOKUP(I23, City!$A$1:$B$2, 2, FALSE), "" )</f>
        <v/>
      </c>
      <c r="W23" s="20" t="str">
        <f>IF(J23 &lt;&gt; "", VLOOKUP(J23, District!$A$1:$B$25, 2, FALSE), "")</f>
        <v/>
      </c>
      <c r="X23" s="21" t="str">
        <f>IF(K23 &lt;&gt; "", VLOOKUP(K23, IF(J23="Quận 1", Ward!$A$2:$B$11, IF(J23="Quận 2", Ward!$C$2:$D$12, IF(J23="Quận 3", Ward!$E$2:$F$15, IF(J23="Quận 4", Ward!$G$2:$H$16, IF(J23="Quận 5", Ward!$I$2:$J$16, IF(J23="Quận 6", Ward!$K$2:$L$15, IF(J23="Quận 7", Ward!$M$2:$N$11, IF(J23="Quận 8", Ward!$O$2:$P$17, IF(J23="Quận 9", Ward!$Q$2:$R$14, IF(J23="Quận 10", Ward!$S$2:$T$16, IF(J23="Quận 11", Ward!$U$2:$V$17, IF(J23="Quận 12", Ward!$W$2:$X$12, IF(J23="Huyện Bình Chánh", Ward!$Y$2:$Z$17, IF(J23="Quận Bình Tân", Ward!$AA$2:$AB$11, IF(J23="Quận Bình Thạnh", Ward!$AC$2:$AD$21, IF(J23="Huyện Cần Giờ", Ward!$AE$2:$AF$8, IF(J23="Huyện Củ Chi", Ward!$AG$2:$AH$22, IF(J23="Quận Gò Vấp", Ward!$AI$2:$AJ$17, IF(J23="Huyện Hóc Môn", Ward!$AK$2:$AL$13, IF(J23="Huyện Nhà Bè", Ward!$AM$2:$AN$8, IF(J23="Quận Phú Nhuận", Ward!$AO$2:$AP$16, IF(J23="Quận Tân Bình", Ward!$AQ$2:$AR$16, IF(J23="Quận Tân Phú", Ward!$AS$2:$AT$12, IF(J23="Quận Thủ Đức", Ward!$AU$2:$AV$13)))))))))))))))))))))))), 2, FALSE), "")</f>
        <v/>
      </c>
      <c r="Y23" s="20" t="str">
        <f>IF(B23 &lt;&gt; "", VLOOKUP(B23, HospitalType!$A$2:$B$9, 2, FALSE), "")</f>
        <v/>
      </c>
    </row>
    <row r="24" spans="1:25" x14ac:dyDescent="0.25">
      <c r="A24" s="34"/>
      <c r="B24" s="24"/>
      <c r="C24" s="24"/>
      <c r="D24" s="24"/>
      <c r="E24" s="24"/>
      <c r="F24" s="24"/>
      <c r="G24" s="25"/>
      <c r="H24" s="25"/>
      <c r="I24" s="25"/>
      <c r="J24" s="25"/>
      <c r="K24" s="25"/>
      <c r="L24" s="25"/>
      <c r="M24" s="25"/>
      <c r="N24" s="25"/>
      <c r="O24" s="25"/>
      <c r="P24" s="25"/>
      <c r="Q24" s="24"/>
      <c r="R24" s="26"/>
      <c r="S24" s="26"/>
      <c r="T24" s="26"/>
      <c r="U24" s="27"/>
      <c r="V24" s="20" t="str">
        <f>IF(I24 &lt;&gt; "", VLOOKUP(I24, City!$A$1:$B$2, 2, FALSE), "" )</f>
        <v/>
      </c>
      <c r="W24" s="20" t="str">
        <f>IF(J24 &lt;&gt; "", VLOOKUP(J24, District!$A$1:$B$25, 2, FALSE), "")</f>
        <v/>
      </c>
      <c r="X24" s="21" t="str">
        <f>IF(K24 &lt;&gt; "", VLOOKUP(K24, IF(J24="Quận 1", Ward!$A$2:$B$11, IF(J24="Quận 2", Ward!$C$2:$D$12, IF(J24="Quận 3", Ward!$E$2:$F$15, IF(J24="Quận 4", Ward!$G$2:$H$16, IF(J24="Quận 5", Ward!$I$2:$J$16, IF(J24="Quận 6", Ward!$K$2:$L$15, IF(J24="Quận 7", Ward!$M$2:$N$11, IF(J24="Quận 8", Ward!$O$2:$P$17, IF(J24="Quận 9", Ward!$Q$2:$R$14, IF(J24="Quận 10", Ward!$S$2:$T$16, IF(J24="Quận 11", Ward!$U$2:$V$17, IF(J24="Quận 12", Ward!$W$2:$X$12, IF(J24="Huyện Bình Chánh", Ward!$Y$2:$Z$17, IF(J24="Quận Bình Tân", Ward!$AA$2:$AB$11, IF(J24="Quận Bình Thạnh", Ward!$AC$2:$AD$21, IF(J24="Huyện Cần Giờ", Ward!$AE$2:$AF$8, IF(J24="Huyện Củ Chi", Ward!$AG$2:$AH$22, IF(J24="Quận Gò Vấp", Ward!$AI$2:$AJ$17, IF(J24="Huyện Hóc Môn", Ward!$AK$2:$AL$13, IF(J24="Huyện Nhà Bè", Ward!$AM$2:$AN$8, IF(J24="Quận Phú Nhuận", Ward!$AO$2:$AP$16, IF(J24="Quận Tân Bình", Ward!$AQ$2:$AR$16, IF(J24="Quận Tân Phú", Ward!$AS$2:$AT$12, IF(J24="Quận Thủ Đức", Ward!$AU$2:$AV$13)))))))))))))))))))))))), 2, FALSE), "")</f>
        <v/>
      </c>
      <c r="Y24" s="20" t="str">
        <f>IF(B24 &lt;&gt; "", VLOOKUP(B24, HospitalType!$A$2:$B$9, 2, FALSE), "")</f>
        <v/>
      </c>
    </row>
    <row r="25" spans="1:25" x14ac:dyDescent="0.25">
      <c r="A25" s="34"/>
      <c r="B25" s="24"/>
      <c r="C25" s="24"/>
      <c r="D25" s="24"/>
      <c r="E25" s="24"/>
      <c r="F25" s="24"/>
      <c r="G25" s="25"/>
      <c r="H25" s="25"/>
      <c r="I25" s="25"/>
      <c r="J25" s="25"/>
      <c r="K25" s="25"/>
      <c r="L25" s="25"/>
      <c r="M25" s="25"/>
      <c r="N25" s="25"/>
      <c r="O25" s="25"/>
      <c r="P25" s="25"/>
      <c r="Q25" s="24"/>
      <c r="R25" s="26"/>
      <c r="S25" s="26"/>
      <c r="T25" s="26"/>
      <c r="U25" s="27"/>
      <c r="V25" s="20" t="str">
        <f>IF(I25 &lt;&gt; "", VLOOKUP(I25, City!$A$1:$B$2, 2, FALSE), "" )</f>
        <v/>
      </c>
      <c r="W25" s="20" t="str">
        <f>IF(J25 &lt;&gt; "", VLOOKUP(J25, District!$A$1:$B$25, 2, FALSE), "")</f>
        <v/>
      </c>
      <c r="X25" s="21" t="str">
        <f>IF(K25 &lt;&gt; "", VLOOKUP(K25, IF(J25="Quận 1", Ward!$A$2:$B$11, IF(J25="Quận 2", Ward!$C$2:$D$12, IF(J25="Quận 3", Ward!$E$2:$F$15, IF(J25="Quận 4", Ward!$G$2:$H$16, IF(J25="Quận 5", Ward!$I$2:$J$16, IF(J25="Quận 6", Ward!$K$2:$L$15, IF(J25="Quận 7", Ward!$M$2:$N$11, IF(J25="Quận 8", Ward!$O$2:$P$17, IF(J25="Quận 9", Ward!$Q$2:$R$14, IF(J25="Quận 10", Ward!$S$2:$T$16, IF(J25="Quận 11", Ward!$U$2:$V$17, IF(J25="Quận 12", Ward!$W$2:$X$12, IF(J25="Huyện Bình Chánh", Ward!$Y$2:$Z$17, IF(J25="Quận Bình Tân", Ward!$AA$2:$AB$11, IF(J25="Quận Bình Thạnh", Ward!$AC$2:$AD$21, IF(J25="Huyện Cần Giờ", Ward!$AE$2:$AF$8, IF(J25="Huyện Củ Chi", Ward!$AG$2:$AH$22, IF(J25="Quận Gò Vấp", Ward!$AI$2:$AJ$17, IF(J25="Huyện Hóc Môn", Ward!$AK$2:$AL$13, IF(J25="Huyện Nhà Bè", Ward!$AM$2:$AN$8, IF(J25="Quận Phú Nhuận", Ward!$AO$2:$AP$16, IF(J25="Quận Tân Bình", Ward!$AQ$2:$AR$16, IF(J25="Quận Tân Phú", Ward!$AS$2:$AT$12, IF(J25="Quận Thủ Đức", Ward!$AU$2:$AV$13)))))))))))))))))))))))), 2, FALSE), "")</f>
        <v/>
      </c>
      <c r="Y25" s="20" t="str">
        <f>IF(B25 &lt;&gt; "", VLOOKUP(B25, HospitalType!$A$2:$B$9, 2, FALSE), "")</f>
        <v/>
      </c>
    </row>
    <row r="26" spans="1:25" x14ac:dyDescent="0.25">
      <c r="A26" s="34"/>
      <c r="B26" s="24"/>
      <c r="C26" s="24"/>
      <c r="D26" s="24"/>
      <c r="E26" s="24"/>
      <c r="F26" s="24"/>
      <c r="G26" s="25"/>
      <c r="H26" s="25"/>
      <c r="I26" s="25"/>
      <c r="J26" s="25"/>
      <c r="K26" s="25"/>
      <c r="L26" s="25"/>
      <c r="M26" s="25"/>
      <c r="N26" s="25"/>
      <c r="O26" s="25"/>
      <c r="P26" s="25"/>
      <c r="Q26" s="24"/>
      <c r="R26" s="26"/>
      <c r="S26" s="26"/>
      <c r="T26" s="26"/>
      <c r="U26" s="27"/>
      <c r="V26" s="20" t="str">
        <f>IF(I26 &lt;&gt; "", VLOOKUP(I26, City!$A$1:$B$2, 2, FALSE), "" )</f>
        <v/>
      </c>
      <c r="W26" s="20" t="str">
        <f>IF(J26 &lt;&gt; "", VLOOKUP(J26, District!$A$1:$B$25, 2, FALSE), "")</f>
        <v/>
      </c>
      <c r="X26" s="21" t="str">
        <f>IF(K26 &lt;&gt; "", VLOOKUP(K26, IF(J26="Quận 1", Ward!$A$2:$B$11, IF(J26="Quận 2", Ward!$C$2:$D$12, IF(J26="Quận 3", Ward!$E$2:$F$15, IF(J26="Quận 4", Ward!$G$2:$H$16, IF(J26="Quận 5", Ward!$I$2:$J$16, IF(J26="Quận 6", Ward!$K$2:$L$15, IF(J26="Quận 7", Ward!$M$2:$N$11, IF(J26="Quận 8", Ward!$O$2:$P$17, IF(J26="Quận 9", Ward!$Q$2:$R$14, IF(J26="Quận 10", Ward!$S$2:$T$16, IF(J26="Quận 11", Ward!$U$2:$V$17, IF(J26="Quận 12", Ward!$W$2:$X$12, IF(J26="Huyện Bình Chánh", Ward!$Y$2:$Z$17, IF(J26="Quận Bình Tân", Ward!$AA$2:$AB$11, IF(J26="Quận Bình Thạnh", Ward!$AC$2:$AD$21, IF(J26="Huyện Cần Giờ", Ward!$AE$2:$AF$8, IF(J26="Huyện Củ Chi", Ward!$AG$2:$AH$22, IF(J26="Quận Gò Vấp", Ward!$AI$2:$AJ$17, IF(J26="Huyện Hóc Môn", Ward!$AK$2:$AL$13, IF(J26="Huyện Nhà Bè", Ward!$AM$2:$AN$8, IF(J26="Quận Phú Nhuận", Ward!$AO$2:$AP$16, IF(J26="Quận Tân Bình", Ward!$AQ$2:$AR$16, IF(J26="Quận Tân Phú", Ward!$AS$2:$AT$12, IF(J26="Quận Thủ Đức", Ward!$AU$2:$AV$13)))))))))))))))))))))))), 2, FALSE), "")</f>
        <v/>
      </c>
      <c r="Y26" s="20" t="str">
        <f>IF(B26 &lt;&gt; "", VLOOKUP(B26, HospitalType!$A$2:$B$9, 2, FALSE), "")</f>
        <v/>
      </c>
    </row>
    <row r="27" spans="1:25" x14ac:dyDescent="0.25">
      <c r="A27" s="34"/>
      <c r="B27" s="24"/>
      <c r="C27" s="24"/>
      <c r="D27" s="24"/>
      <c r="E27" s="24"/>
      <c r="F27" s="24"/>
      <c r="G27" s="25"/>
      <c r="H27" s="25"/>
      <c r="I27" s="25"/>
      <c r="J27" s="25"/>
      <c r="K27" s="25"/>
      <c r="L27" s="25"/>
      <c r="M27" s="25"/>
      <c r="N27" s="25"/>
      <c r="O27" s="25"/>
      <c r="P27" s="25"/>
      <c r="Q27" s="24"/>
      <c r="R27" s="26"/>
      <c r="S27" s="26"/>
      <c r="T27" s="26"/>
      <c r="U27" s="27"/>
      <c r="V27" s="20" t="str">
        <f>IF(I27 &lt;&gt; "", VLOOKUP(I27, City!$A$1:$B$2, 2, FALSE), "" )</f>
        <v/>
      </c>
      <c r="W27" s="20" t="str">
        <f>IF(J27 &lt;&gt; "", VLOOKUP(J27, District!$A$1:$B$25, 2, FALSE), "")</f>
        <v/>
      </c>
      <c r="X27" s="21" t="str">
        <f>IF(K27 &lt;&gt; "", VLOOKUP(K27, IF(J27="Quận 1", Ward!$A$2:$B$11, IF(J27="Quận 2", Ward!$C$2:$D$12, IF(J27="Quận 3", Ward!$E$2:$F$15, IF(J27="Quận 4", Ward!$G$2:$H$16, IF(J27="Quận 5", Ward!$I$2:$J$16, IF(J27="Quận 6", Ward!$K$2:$L$15, IF(J27="Quận 7", Ward!$M$2:$N$11, IF(J27="Quận 8", Ward!$O$2:$P$17, IF(J27="Quận 9", Ward!$Q$2:$R$14, IF(J27="Quận 10", Ward!$S$2:$T$16, IF(J27="Quận 11", Ward!$U$2:$V$17, IF(J27="Quận 12", Ward!$W$2:$X$12, IF(J27="Huyện Bình Chánh", Ward!$Y$2:$Z$17, IF(J27="Quận Bình Tân", Ward!$AA$2:$AB$11, IF(J27="Quận Bình Thạnh", Ward!$AC$2:$AD$21, IF(J27="Huyện Cần Giờ", Ward!$AE$2:$AF$8, IF(J27="Huyện Củ Chi", Ward!$AG$2:$AH$22, IF(J27="Quận Gò Vấp", Ward!$AI$2:$AJ$17, IF(J27="Huyện Hóc Môn", Ward!$AK$2:$AL$13, IF(J27="Huyện Nhà Bè", Ward!$AM$2:$AN$8, IF(J27="Quận Phú Nhuận", Ward!$AO$2:$AP$16, IF(J27="Quận Tân Bình", Ward!$AQ$2:$AR$16, IF(J27="Quận Tân Phú", Ward!$AS$2:$AT$12, IF(J27="Quận Thủ Đức", Ward!$AU$2:$AV$13)))))))))))))))))))))))), 2, FALSE), "")</f>
        <v/>
      </c>
      <c r="Y27" s="20" t="str">
        <f>IF(B27 &lt;&gt; "", VLOOKUP(B27, HospitalType!$A$2:$B$9, 2, FALSE), "")</f>
        <v/>
      </c>
    </row>
    <row r="28" spans="1:25" x14ac:dyDescent="0.25">
      <c r="A28" s="34"/>
      <c r="B28" s="24"/>
      <c r="C28" s="24"/>
      <c r="D28" s="24"/>
      <c r="E28" s="24"/>
      <c r="F28" s="24"/>
      <c r="G28" s="25"/>
      <c r="H28" s="25"/>
      <c r="I28" s="25"/>
      <c r="J28" s="25"/>
      <c r="K28" s="25"/>
      <c r="L28" s="25"/>
      <c r="M28" s="25"/>
      <c r="N28" s="25"/>
      <c r="O28" s="25"/>
      <c r="P28" s="25"/>
      <c r="Q28" s="24"/>
      <c r="R28" s="26"/>
      <c r="S28" s="26"/>
      <c r="T28" s="26"/>
      <c r="U28" s="27"/>
      <c r="V28" s="20" t="str">
        <f>IF(I28 &lt;&gt; "", VLOOKUP(I28, City!$A$1:$B$2, 2, FALSE), "" )</f>
        <v/>
      </c>
      <c r="W28" s="20" t="str">
        <f>IF(J28 &lt;&gt; "", VLOOKUP(J28, District!$A$1:$B$25, 2, FALSE), "")</f>
        <v/>
      </c>
      <c r="X28" s="21" t="str">
        <f>IF(K28 &lt;&gt; "", VLOOKUP(K28, IF(J28="Quận 1", Ward!$A$2:$B$11, IF(J28="Quận 2", Ward!$C$2:$D$12, IF(J28="Quận 3", Ward!$E$2:$F$15, IF(J28="Quận 4", Ward!$G$2:$H$16, IF(J28="Quận 5", Ward!$I$2:$J$16, IF(J28="Quận 6", Ward!$K$2:$L$15, IF(J28="Quận 7", Ward!$M$2:$N$11, IF(J28="Quận 8", Ward!$O$2:$P$17, IF(J28="Quận 9", Ward!$Q$2:$R$14, IF(J28="Quận 10", Ward!$S$2:$T$16, IF(J28="Quận 11", Ward!$U$2:$V$17, IF(J28="Quận 12", Ward!$W$2:$X$12, IF(J28="Huyện Bình Chánh", Ward!$Y$2:$Z$17, IF(J28="Quận Bình Tân", Ward!$AA$2:$AB$11, IF(J28="Quận Bình Thạnh", Ward!$AC$2:$AD$21, IF(J28="Huyện Cần Giờ", Ward!$AE$2:$AF$8, IF(J28="Huyện Củ Chi", Ward!$AG$2:$AH$22, IF(J28="Quận Gò Vấp", Ward!$AI$2:$AJ$17, IF(J28="Huyện Hóc Môn", Ward!$AK$2:$AL$13, IF(J28="Huyện Nhà Bè", Ward!$AM$2:$AN$8, IF(J28="Quận Phú Nhuận", Ward!$AO$2:$AP$16, IF(J28="Quận Tân Bình", Ward!$AQ$2:$AR$16, IF(J28="Quận Tân Phú", Ward!$AS$2:$AT$12, IF(J28="Quận Thủ Đức", Ward!$AU$2:$AV$13)))))))))))))))))))))))), 2, FALSE), "")</f>
        <v/>
      </c>
      <c r="Y28" s="20" t="str">
        <f>IF(B28 &lt;&gt; "", VLOOKUP(B28, HospitalType!$A$2:$B$9, 2, FALSE), "")</f>
        <v/>
      </c>
    </row>
    <row r="29" spans="1:25" x14ac:dyDescent="0.25">
      <c r="A29" s="34"/>
      <c r="B29" s="24"/>
      <c r="C29" s="24"/>
      <c r="D29" s="24"/>
      <c r="E29" s="24"/>
      <c r="F29" s="24"/>
      <c r="G29" s="25"/>
      <c r="H29" s="25"/>
      <c r="I29" s="25"/>
      <c r="J29" s="25"/>
      <c r="K29" s="25"/>
      <c r="L29" s="25"/>
      <c r="M29" s="25"/>
      <c r="N29" s="25"/>
      <c r="O29" s="25"/>
      <c r="P29" s="25"/>
      <c r="Q29" s="24"/>
      <c r="R29" s="26"/>
      <c r="S29" s="26"/>
      <c r="T29" s="26"/>
      <c r="U29" s="27"/>
      <c r="V29" s="20" t="str">
        <f>IF(I29 &lt;&gt; "", VLOOKUP(I29, City!$A$1:$B$2, 2, FALSE), "" )</f>
        <v/>
      </c>
      <c r="W29" s="20" t="str">
        <f>IF(J29 &lt;&gt; "", VLOOKUP(J29, District!$A$1:$B$25, 2, FALSE), "")</f>
        <v/>
      </c>
      <c r="X29" s="21" t="str">
        <f>IF(K29 &lt;&gt; "", VLOOKUP(K29, IF(J29="Quận 1", Ward!$A$2:$B$11, IF(J29="Quận 2", Ward!$C$2:$D$12, IF(J29="Quận 3", Ward!$E$2:$F$15, IF(J29="Quận 4", Ward!$G$2:$H$16, IF(J29="Quận 5", Ward!$I$2:$J$16, IF(J29="Quận 6", Ward!$K$2:$L$15, IF(J29="Quận 7", Ward!$M$2:$N$11, IF(J29="Quận 8", Ward!$O$2:$P$17, IF(J29="Quận 9", Ward!$Q$2:$R$14, IF(J29="Quận 10", Ward!$S$2:$T$16, IF(J29="Quận 11", Ward!$U$2:$V$17, IF(J29="Quận 12", Ward!$W$2:$X$12, IF(J29="Huyện Bình Chánh", Ward!$Y$2:$Z$17, IF(J29="Quận Bình Tân", Ward!$AA$2:$AB$11, IF(J29="Quận Bình Thạnh", Ward!$AC$2:$AD$21, IF(J29="Huyện Cần Giờ", Ward!$AE$2:$AF$8, IF(J29="Huyện Củ Chi", Ward!$AG$2:$AH$22, IF(J29="Quận Gò Vấp", Ward!$AI$2:$AJ$17, IF(J29="Huyện Hóc Môn", Ward!$AK$2:$AL$13, IF(J29="Huyện Nhà Bè", Ward!$AM$2:$AN$8, IF(J29="Quận Phú Nhuận", Ward!$AO$2:$AP$16, IF(J29="Quận Tân Bình", Ward!$AQ$2:$AR$16, IF(J29="Quận Tân Phú", Ward!$AS$2:$AT$12, IF(J29="Quận Thủ Đức", Ward!$AU$2:$AV$13)))))))))))))))))))))))), 2, FALSE), "")</f>
        <v/>
      </c>
      <c r="Y29" s="20" t="str">
        <f>IF(B29 &lt;&gt; "", VLOOKUP(B29, HospitalType!$A$2:$B$9, 2, FALSE), "")</f>
        <v/>
      </c>
    </row>
    <row r="30" spans="1:25" x14ac:dyDescent="0.25">
      <c r="A30" s="34"/>
      <c r="B30" s="24"/>
      <c r="C30" s="24"/>
      <c r="D30" s="24"/>
      <c r="E30" s="24"/>
      <c r="F30" s="24"/>
      <c r="G30" s="25"/>
      <c r="H30" s="25"/>
      <c r="I30" s="25"/>
      <c r="J30" s="25"/>
      <c r="K30" s="25"/>
      <c r="L30" s="25"/>
      <c r="M30" s="25"/>
      <c r="N30" s="25"/>
      <c r="O30" s="25"/>
      <c r="P30" s="25"/>
      <c r="Q30" s="24"/>
      <c r="R30" s="26"/>
      <c r="S30" s="26"/>
      <c r="T30" s="26"/>
      <c r="U30" s="27"/>
      <c r="V30" s="20" t="str">
        <f>IF(I30 &lt;&gt; "", VLOOKUP(I30, City!$A$1:$B$2, 2, FALSE), "" )</f>
        <v/>
      </c>
      <c r="W30" s="20" t="str">
        <f>IF(J30 &lt;&gt; "", VLOOKUP(J30, District!$A$1:$B$25, 2, FALSE), "")</f>
        <v/>
      </c>
      <c r="X30" s="21" t="str">
        <f>IF(K30 &lt;&gt; "", VLOOKUP(K30, IF(J30="Quận 1", Ward!$A$2:$B$11, IF(J30="Quận 2", Ward!$C$2:$D$12, IF(J30="Quận 3", Ward!$E$2:$F$15, IF(J30="Quận 4", Ward!$G$2:$H$16, IF(J30="Quận 5", Ward!$I$2:$J$16, IF(J30="Quận 6", Ward!$K$2:$L$15, IF(J30="Quận 7", Ward!$M$2:$N$11, IF(J30="Quận 8", Ward!$O$2:$P$17, IF(J30="Quận 9", Ward!$Q$2:$R$14, IF(J30="Quận 10", Ward!$S$2:$T$16, IF(J30="Quận 11", Ward!$U$2:$V$17, IF(J30="Quận 12", Ward!$W$2:$X$12, IF(J30="Huyện Bình Chánh", Ward!$Y$2:$Z$17, IF(J30="Quận Bình Tân", Ward!$AA$2:$AB$11, IF(J30="Quận Bình Thạnh", Ward!$AC$2:$AD$21, IF(J30="Huyện Cần Giờ", Ward!$AE$2:$AF$8, IF(J30="Huyện Củ Chi", Ward!$AG$2:$AH$22, IF(J30="Quận Gò Vấp", Ward!$AI$2:$AJ$17, IF(J30="Huyện Hóc Môn", Ward!$AK$2:$AL$13, IF(J30="Huyện Nhà Bè", Ward!$AM$2:$AN$8, IF(J30="Quận Phú Nhuận", Ward!$AO$2:$AP$16, IF(J30="Quận Tân Bình", Ward!$AQ$2:$AR$16, IF(J30="Quận Tân Phú", Ward!$AS$2:$AT$12, IF(J30="Quận Thủ Đức", Ward!$AU$2:$AV$13)))))))))))))))))))))))), 2, FALSE), "")</f>
        <v/>
      </c>
      <c r="Y30" s="20" t="str">
        <f>IF(B30 &lt;&gt; "", VLOOKUP(B30, HospitalType!$A$2:$B$9, 2, FALSE), "")</f>
        <v/>
      </c>
    </row>
    <row r="31" spans="1:25" x14ac:dyDescent="0.25">
      <c r="A31" s="34"/>
      <c r="B31" s="24"/>
      <c r="C31" s="24"/>
      <c r="D31" s="24"/>
      <c r="E31" s="24"/>
      <c r="F31" s="24"/>
      <c r="G31" s="25"/>
      <c r="H31" s="25"/>
      <c r="I31" s="25"/>
      <c r="J31" s="25"/>
      <c r="K31" s="25"/>
      <c r="L31" s="25"/>
      <c r="M31" s="25"/>
      <c r="N31" s="25"/>
      <c r="O31" s="25"/>
      <c r="P31" s="25"/>
      <c r="Q31" s="24"/>
      <c r="R31" s="26"/>
      <c r="S31" s="26"/>
      <c r="T31" s="26"/>
      <c r="U31" s="27"/>
      <c r="V31" s="20" t="str">
        <f>IF(I31 &lt;&gt; "", VLOOKUP(I31, City!$A$1:$B$2, 2, FALSE), "" )</f>
        <v/>
      </c>
      <c r="W31" s="20" t="str">
        <f>IF(J31 &lt;&gt; "", VLOOKUP(J31, District!$A$1:$B$25, 2, FALSE), "")</f>
        <v/>
      </c>
      <c r="X31" s="21" t="str">
        <f>IF(K31 &lt;&gt; "", VLOOKUP(K31, IF(J31="Quận 1", Ward!$A$2:$B$11, IF(J31="Quận 2", Ward!$C$2:$D$12, IF(J31="Quận 3", Ward!$E$2:$F$15, IF(J31="Quận 4", Ward!$G$2:$H$16, IF(J31="Quận 5", Ward!$I$2:$J$16, IF(J31="Quận 6", Ward!$K$2:$L$15, IF(J31="Quận 7", Ward!$M$2:$N$11, IF(J31="Quận 8", Ward!$O$2:$P$17, IF(J31="Quận 9", Ward!$Q$2:$R$14, IF(J31="Quận 10", Ward!$S$2:$T$16, IF(J31="Quận 11", Ward!$U$2:$V$17, IF(J31="Quận 12", Ward!$W$2:$X$12, IF(J31="Huyện Bình Chánh", Ward!$Y$2:$Z$17, IF(J31="Quận Bình Tân", Ward!$AA$2:$AB$11, IF(J31="Quận Bình Thạnh", Ward!$AC$2:$AD$21, IF(J31="Huyện Cần Giờ", Ward!$AE$2:$AF$8, IF(J31="Huyện Củ Chi", Ward!$AG$2:$AH$22, IF(J31="Quận Gò Vấp", Ward!$AI$2:$AJ$17, IF(J31="Huyện Hóc Môn", Ward!$AK$2:$AL$13, IF(J31="Huyện Nhà Bè", Ward!$AM$2:$AN$8, IF(J31="Quận Phú Nhuận", Ward!$AO$2:$AP$16, IF(J31="Quận Tân Bình", Ward!$AQ$2:$AR$16, IF(J31="Quận Tân Phú", Ward!$AS$2:$AT$12, IF(J31="Quận Thủ Đức", Ward!$AU$2:$AV$13)))))))))))))))))))))))), 2, FALSE), "")</f>
        <v/>
      </c>
      <c r="Y31" s="20" t="str">
        <f>IF(B31 &lt;&gt; "", VLOOKUP(B31, HospitalType!$A$2:$B$9, 2, FALSE), "")</f>
        <v/>
      </c>
    </row>
    <row r="32" spans="1:25" x14ac:dyDescent="0.25">
      <c r="A32" s="34"/>
      <c r="B32" s="24"/>
      <c r="C32" s="24"/>
      <c r="D32" s="24"/>
      <c r="E32" s="24"/>
      <c r="F32" s="24"/>
      <c r="G32" s="25"/>
      <c r="H32" s="25"/>
      <c r="I32" s="25"/>
      <c r="J32" s="25"/>
      <c r="K32" s="25"/>
      <c r="L32" s="25"/>
      <c r="M32" s="25"/>
      <c r="N32" s="25"/>
      <c r="O32" s="25"/>
      <c r="P32" s="25"/>
      <c r="Q32" s="24"/>
      <c r="R32" s="26"/>
      <c r="S32" s="26"/>
      <c r="T32" s="26"/>
      <c r="U32" s="27"/>
      <c r="V32" s="20" t="str">
        <f>IF(I32 &lt;&gt; "", VLOOKUP(I32, City!$A$1:$B$2, 2, FALSE), "" )</f>
        <v/>
      </c>
      <c r="W32" s="20" t="str">
        <f>IF(J32 &lt;&gt; "", VLOOKUP(J32, District!$A$1:$B$25, 2, FALSE), "")</f>
        <v/>
      </c>
      <c r="X32" s="21" t="str">
        <f>IF(K32 &lt;&gt; "", VLOOKUP(K32, IF(J32="Quận 1", Ward!$A$2:$B$11, IF(J32="Quận 2", Ward!$C$2:$D$12, IF(J32="Quận 3", Ward!$E$2:$F$15, IF(J32="Quận 4", Ward!$G$2:$H$16, IF(J32="Quận 5", Ward!$I$2:$J$16, IF(J32="Quận 6", Ward!$K$2:$L$15, IF(J32="Quận 7", Ward!$M$2:$N$11, IF(J32="Quận 8", Ward!$O$2:$P$17, IF(J32="Quận 9", Ward!$Q$2:$R$14, IF(J32="Quận 10", Ward!$S$2:$T$16, IF(J32="Quận 11", Ward!$U$2:$V$17, IF(J32="Quận 12", Ward!$W$2:$X$12, IF(J32="Huyện Bình Chánh", Ward!$Y$2:$Z$17, IF(J32="Quận Bình Tân", Ward!$AA$2:$AB$11, IF(J32="Quận Bình Thạnh", Ward!$AC$2:$AD$21, IF(J32="Huyện Cần Giờ", Ward!$AE$2:$AF$8, IF(J32="Huyện Củ Chi", Ward!$AG$2:$AH$22, IF(J32="Quận Gò Vấp", Ward!$AI$2:$AJ$17, IF(J32="Huyện Hóc Môn", Ward!$AK$2:$AL$13, IF(J32="Huyện Nhà Bè", Ward!$AM$2:$AN$8, IF(J32="Quận Phú Nhuận", Ward!$AO$2:$AP$16, IF(J32="Quận Tân Bình", Ward!$AQ$2:$AR$16, IF(J32="Quận Tân Phú", Ward!$AS$2:$AT$12, IF(J32="Quận Thủ Đức", Ward!$AU$2:$AV$13)))))))))))))))))))))))), 2, FALSE), "")</f>
        <v/>
      </c>
      <c r="Y32" s="20" t="str">
        <f>IF(B32 &lt;&gt; "", VLOOKUP(B32, HospitalType!$A$2:$B$9, 2, FALSE), "")</f>
        <v/>
      </c>
    </row>
    <row r="33" spans="1:25" x14ac:dyDescent="0.25">
      <c r="A33" s="34"/>
      <c r="B33" s="24"/>
      <c r="C33" s="24"/>
      <c r="D33" s="24"/>
      <c r="E33" s="24"/>
      <c r="F33" s="24"/>
      <c r="G33" s="25"/>
      <c r="H33" s="25"/>
      <c r="I33" s="25"/>
      <c r="J33" s="25"/>
      <c r="K33" s="25"/>
      <c r="L33" s="25"/>
      <c r="M33" s="25"/>
      <c r="N33" s="25"/>
      <c r="O33" s="25"/>
      <c r="P33" s="25"/>
      <c r="Q33" s="24"/>
      <c r="R33" s="26"/>
      <c r="S33" s="26"/>
      <c r="T33" s="26"/>
      <c r="U33" s="27"/>
      <c r="V33" s="20" t="str">
        <f>IF(I33 &lt;&gt; "", VLOOKUP(I33, City!$A$1:$B$2, 2, FALSE), "" )</f>
        <v/>
      </c>
      <c r="W33" s="20" t="str">
        <f>IF(J33 &lt;&gt; "", VLOOKUP(J33, District!$A$1:$B$25, 2, FALSE), "")</f>
        <v/>
      </c>
      <c r="X33" s="21" t="str">
        <f>IF(K33 &lt;&gt; "", VLOOKUP(K33, IF(J33="Quận 1", Ward!$A$2:$B$11, IF(J33="Quận 2", Ward!$C$2:$D$12, IF(J33="Quận 3", Ward!$E$2:$F$15, IF(J33="Quận 4", Ward!$G$2:$H$16, IF(J33="Quận 5", Ward!$I$2:$J$16, IF(J33="Quận 6", Ward!$K$2:$L$15, IF(J33="Quận 7", Ward!$M$2:$N$11, IF(J33="Quận 8", Ward!$O$2:$P$17, IF(J33="Quận 9", Ward!$Q$2:$R$14, IF(J33="Quận 10", Ward!$S$2:$T$16, IF(J33="Quận 11", Ward!$U$2:$V$17, IF(J33="Quận 12", Ward!$W$2:$X$12, IF(J33="Huyện Bình Chánh", Ward!$Y$2:$Z$17, IF(J33="Quận Bình Tân", Ward!$AA$2:$AB$11, IF(J33="Quận Bình Thạnh", Ward!$AC$2:$AD$21, IF(J33="Huyện Cần Giờ", Ward!$AE$2:$AF$8, IF(J33="Huyện Củ Chi", Ward!$AG$2:$AH$22, IF(J33="Quận Gò Vấp", Ward!$AI$2:$AJ$17, IF(J33="Huyện Hóc Môn", Ward!$AK$2:$AL$13, IF(J33="Huyện Nhà Bè", Ward!$AM$2:$AN$8, IF(J33="Quận Phú Nhuận", Ward!$AO$2:$AP$16, IF(J33="Quận Tân Bình", Ward!$AQ$2:$AR$16, IF(J33="Quận Tân Phú", Ward!$AS$2:$AT$12, IF(J33="Quận Thủ Đức", Ward!$AU$2:$AV$13)))))))))))))))))))))))), 2, FALSE), "")</f>
        <v/>
      </c>
      <c r="Y33" s="20" t="str">
        <f>IF(B33 &lt;&gt; "", VLOOKUP(B33, HospitalType!$A$2:$B$9, 2, FALSE), "")</f>
        <v/>
      </c>
    </row>
    <row r="34" spans="1:25" x14ac:dyDescent="0.25">
      <c r="A34" s="34"/>
      <c r="B34" s="24"/>
      <c r="C34" s="24"/>
      <c r="D34" s="24"/>
      <c r="E34" s="24"/>
      <c r="F34" s="24"/>
      <c r="G34" s="25"/>
      <c r="H34" s="25"/>
      <c r="I34" s="25"/>
      <c r="J34" s="25"/>
      <c r="K34" s="25"/>
      <c r="L34" s="25"/>
      <c r="M34" s="25"/>
      <c r="N34" s="25"/>
      <c r="O34" s="25"/>
      <c r="P34" s="25"/>
      <c r="Q34" s="24"/>
      <c r="R34" s="26"/>
      <c r="S34" s="26"/>
      <c r="T34" s="26"/>
      <c r="U34" s="27"/>
      <c r="V34" s="20" t="str">
        <f>IF(I34 &lt;&gt; "", VLOOKUP(I34, City!$A$1:$B$2, 2, FALSE), "" )</f>
        <v/>
      </c>
      <c r="W34" s="20" t="str">
        <f>IF(J34 &lt;&gt; "", VLOOKUP(J34, District!$A$1:$B$25, 2, FALSE), "")</f>
        <v/>
      </c>
      <c r="X34" s="21" t="str">
        <f>IF(K34 &lt;&gt; "", VLOOKUP(K34, IF(J34="Quận 1", Ward!$A$2:$B$11, IF(J34="Quận 2", Ward!$C$2:$D$12, IF(J34="Quận 3", Ward!$E$2:$F$15, IF(J34="Quận 4", Ward!$G$2:$H$16, IF(J34="Quận 5", Ward!$I$2:$J$16, IF(J34="Quận 6", Ward!$K$2:$L$15, IF(J34="Quận 7", Ward!$M$2:$N$11, IF(J34="Quận 8", Ward!$O$2:$P$17, IF(J34="Quận 9", Ward!$Q$2:$R$14, IF(J34="Quận 10", Ward!$S$2:$T$16, IF(J34="Quận 11", Ward!$U$2:$V$17, IF(J34="Quận 12", Ward!$W$2:$X$12, IF(J34="Huyện Bình Chánh", Ward!$Y$2:$Z$17, IF(J34="Quận Bình Tân", Ward!$AA$2:$AB$11, IF(J34="Quận Bình Thạnh", Ward!$AC$2:$AD$21, IF(J34="Huyện Cần Giờ", Ward!$AE$2:$AF$8, IF(J34="Huyện Củ Chi", Ward!$AG$2:$AH$22, IF(J34="Quận Gò Vấp", Ward!$AI$2:$AJ$17, IF(J34="Huyện Hóc Môn", Ward!$AK$2:$AL$13, IF(J34="Huyện Nhà Bè", Ward!$AM$2:$AN$8, IF(J34="Quận Phú Nhuận", Ward!$AO$2:$AP$16, IF(J34="Quận Tân Bình", Ward!$AQ$2:$AR$16, IF(J34="Quận Tân Phú", Ward!$AS$2:$AT$12, IF(J34="Quận Thủ Đức", Ward!$AU$2:$AV$13)))))))))))))))))))))))), 2, FALSE), "")</f>
        <v/>
      </c>
      <c r="Y34" s="20" t="str">
        <f>IF(B34 &lt;&gt; "", VLOOKUP(B34, HospitalType!$A$2:$B$9, 2, FALSE), "")</f>
        <v/>
      </c>
    </row>
    <row r="35" spans="1:25" x14ac:dyDescent="0.25">
      <c r="A35" s="34"/>
      <c r="B35" s="24"/>
      <c r="C35" s="24"/>
      <c r="D35" s="24"/>
      <c r="E35" s="24"/>
      <c r="F35" s="24"/>
      <c r="G35" s="25"/>
      <c r="H35" s="25"/>
      <c r="I35" s="25"/>
      <c r="J35" s="25"/>
      <c r="K35" s="25"/>
      <c r="L35" s="25"/>
      <c r="M35" s="25"/>
      <c r="N35" s="25"/>
      <c r="O35" s="25"/>
      <c r="P35" s="25"/>
      <c r="Q35" s="24"/>
      <c r="R35" s="26"/>
      <c r="S35" s="26"/>
      <c r="T35" s="26"/>
      <c r="U35" s="27"/>
      <c r="V35" s="20" t="str">
        <f>IF(I35 &lt;&gt; "", VLOOKUP(I35, City!$A$1:$B$2, 2, FALSE), "" )</f>
        <v/>
      </c>
      <c r="W35" s="20" t="str">
        <f>IF(J35 &lt;&gt; "", VLOOKUP(J35, District!$A$1:$B$25, 2, FALSE), "")</f>
        <v/>
      </c>
      <c r="X35" s="21" t="str">
        <f>IF(K35 &lt;&gt; "", VLOOKUP(K35, IF(J35="Quận 1", Ward!$A$2:$B$11, IF(J35="Quận 2", Ward!$C$2:$D$12, IF(J35="Quận 3", Ward!$E$2:$F$15, IF(J35="Quận 4", Ward!$G$2:$H$16, IF(J35="Quận 5", Ward!$I$2:$J$16, IF(J35="Quận 6", Ward!$K$2:$L$15, IF(J35="Quận 7", Ward!$M$2:$N$11, IF(J35="Quận 8", Ward!$O$2:$P$17, IF(J35="Quận 9", Ward!$Q$2:$R$14, IF(J35="Quận 10", Ward!$S$2:$T$16, IF(J35="Quận 11", Ward!$U$2:$V$17, IF(J35="Quận 12", Ward!$W$2:$X$12, IF(J35="Huyện Bình Chánh", Ward!$Y$2:$Z$17, IF(J35="Quận Bình Tân", Ward!$AA$2:$AB$11, IF(J35="Quận Bình Thạnh", Ward!$AC$2:$AD$21, IF(J35="Huyện Cần Giờ", Ward!$AE$2:$AF$8, IF(J35="Huyện Củ Chi", Ward!$AG$2:$AH$22, IF(J35="Quận Gò Vấp", Ward!$AI$2:$AJ$17, IF(J35="Huyện Hóc Môn", Ward!$AK$2:$AL$13, IF(J35="Huyện Nhà Bè", Ward!$AM$2:$AN$8, IF(J35="Quận Phú Nhuận", Ward!$AO$2:$AP$16, IF(J35="Quận Tân Bình", Ward!$AQ$2:$AR$16, IF(J35="Quận Tân Phú", Ward!$AS$2:$AT$12, IF(J35="Quận Thủ Đức", Ward!$AU$2:$AV$13)))))))))))))))))))))))), 2, FALSE), "")</f>
        <v/>
      </c>
      <c r="Y35" s="20" t="str">
        <f>IF(B35 &lt;&gt; "", VLOOKUP(B35, HospitalType!$A$2:$B$9, 2, FALSE), "")</f>
        <v/>
      </c>
    </row>
    <row r="36" spans="1:25" x14ac:dyDescent="0.25">
      <c r="A36" s="34"/>
      <c r="B36" s="24"/>
      <c r="C36" s="24"/>
      <c r="D36" s="24"/>
      <c r="E36" s="24"/>
      <c r="F36" s="24"/>
      <c r="G36" s="25"/>
      <c r="H36" s="25"/>
      <c r="I36" s="25"/>
      <c r="J36" s="25"/>
      <c r="K36" s="25"/>
      <c r="L36" s="25"/>
      <c r="M36" s="25"/>
      <c r="N36" s="25"/>
      <c r="O36" s="25"/>
      <c r="P36" s="25"/>
      <c r="Q36" s="24"/>
      <c r="R36" s="26"/>
      <c r="S36" s="26"/>
      <c r="T36" s="26"/>
      <c r="U36" s="27"/>
      <c r="V36" s="20" t="str">
        <f>IF(I36 &lt;&gt; "", VLOOKUP(I36, City!$A$1:$B$2, 2, FALSE), "" )</f>
        <v/>
      </c>
      <c r="W36" s="20" t="str">
        <f>IF(J36 &lt;&gt; "", VLOOKUP(J36, District!$A$1:$B$25, 2, FALSE), "")</f>
        <v/>
      </c>
      <c r="X36" s="21" t="str">
        <f>IF(K36 &lt;&gt; "", VLOOKUP(K36, IF(J36="Quận 1", Ward!$A$2:$B$11, IF(J36="Quận 2", Ward!$C$2:$D$12, IF(J36="Quận 3", Ward!$E$2:$F$15, IF(J36="Quận 4", Ward!$G$2:$H$16, IF(J36="Quận 5", Ward!$I$2:$J$16, IF(J36="Quận 6", Ward!$K$2:$L$15, IF(J36="Quận 7", Ward!$M$2:$N$11, IF(J36="Quận 8", Ward!$O$2:$P$17, IF(J36="Quận 9", Ward!$Q$2:$R$14, IF(J36="Quận 10", Ward!$S$2:$T$16, IF(J36="Quận 11", Ward!$U$2:$V$17, IF(J36="Quận 12", Ward!$W$2:$X$12, IF(J36="Huyện Bình Chánh", Ward!$Y$2:$Z$17, IF(J36="Quận Bình Tân", Ward!$AA$2:$AB$11, IF(J36="Quận Bình Thạnh", Ward!$AC$2:$AD$21, IF(J36="Huyện Cần Giờ", Ward!$AE$2:$AF$8, IF(J36="Huyện Củ Chi", Ward!$AG$2:$AH$22, IF(J36="Quận Gò Vấp", Ward!$AI$2:$AJ$17, IF(J36="Huyện Hóc Môn", Ward!$AK$2:$AL$13, IF(J36="Huyện Nhà Bè", Ward!$AM$2:$AN$8, IF(J36="Quận Phú Nhuận", Ward!$AO$2:$AP$16, IF(J36="Quận Tân Bình", Ward!$AQ$2:$AR$16, IF(J36="Quận Tân Phú", Ward!$AS$2:$AT$12, IF(J36="Quận Thủ Đức", Ward!$AU$2:$AV$13)))))))))))))))))))))))), 2, FALSE), "")</f>
        <v/>
      </c>
      <c r="Y36" s="20" t="str">
        <f>IF(B36 &lt;&gt; "", VLOOKUP(B36, HospitalType!$A$2:$B$9, 2, FALSE), "")</f>
        <v/>
      </c>
    </row>
    <row r="37" spans="1:25" x14ac:dyDescent="0.25">
      <c r="A37" s="34"/>
      <c r="B37" s="24"/>
      <c r="C37" s="24"/>
      <c r="D37" s="24"/>
      <c r="E37" s="24"/>
      <c r="F37" s="24"/>
      <c r="G37" s="25"/>
      <c r="H37" s="25"/>
      <c r="I37" s="25"/>
      <c r="J37" s="25"/>
      <c r="K37" s="25"/>
      <c r="L37" s="25"/>
      <c r="M37" s="25"/>
      <c r="N37" s="25"/>
      <c r="O37" s="25"/>
      <c r="P37" s="25"/>
      <c r="Q37" s="24"/>
      <c r="R37" s="26"/>
      <c r="S37" s="26"/>
      <c r="T37" s="26"/>
      <c r="U37" s="27"/>
      <c r="V37" s="20" t="str">
        <f>IF(I37 &lt;&gt; "", VLOOKUP(I37, City!$A$1:$B$2, 2, FALSE), "" )</f>
        <v/>
      </c>
      <c r="W37" s="20" t="str">
        <f>IF(J37 &lt;&gt; "", VLOOKUP(J37, District!$A$1:$B$25, 2, FALSE), "")</f>
        <v/>
      </c>
      <c r="X37" s="21" t="str">
        <f>IF(K37 &lt;&gt; "", VLOOKUP(K37, IF(J37="Quận 1", Ward!$A$2:$B$11, IF(J37="Quận 2", Ward!$C$2:$D$12, IF(J37="Quận 3", Ward!$E$2:$F$15, IF(J37="Quận 4", Ward!$G$2:$H$16, IF(J37="Quận 5", Ward!$I$2:$J$16, IF(J37="Quận 6", Ward!$K$2:$L$15, IF(J37="Quận 7", Ward!$M$2:$N$11, IF(J37="Quận 8", Ward!$O$2:$P$17, IF(J37="Quận 9", Ward!$Q$2:$R$14, IF(J37="Quận 10", Ward!$S$2:$T$16, IF(J37="Quận 11", Ward!$U$2:$V$17, IF(J37="Quận 12", Ward!$W$2:$X$12, IF(J37="Huyện Bình Chánh", Ward!$Y$2:$Z$17, IF(J37="Quận Bình Tân", Ward!$AA$2:$AB$11, IF(J37="Quận Bình Thạnh", Ward!$AC$2:$AD$21, IF(J37="Huyện Cần Giờ", Ward!$AE$2:$AF$8, IF(J37="Huyện Củ Chi", Ward!$AG$2:$AH$22, IF(J37="Quận Gò Vấp", Ward!$AI$2:$AJ$17, IF(J37="Huyện Hóc Môn", Ward!$AK$2:$AL$13, IF(J37="Huyện Nhà Bè", Ward!$AM$2:$AN$8, IF(J37="Quận Phú Nhuận", Ward!$AO$2:$AP$16, IF(J37="Quận Tân Bình", Ward!$AQ$2:$AR$16, IF(J37="Quận Tân Phú", Ward!$AS$2:$AT$12, IF(J37="Quận Thủ Đức", Ward!$AU$2:$AV$13)))))))))))))))))))))))), 2, FALSE), "")</f>
        <v/>
      </c>
      <c r="Y37" s="20" t="str">
        <f>IF(B37 &lt;&gt; "", VLOOKUP(B37, HospitalType!$A$2:$B$9, 2, FALSE), "")</f>
        <v/>
      </c>
    </row>
    <row r="38" spans="1:25" x14ac:dyDescent="0.25">
      <c r="A38" s="34"/>
      <c r="B38" s="24"/>
      <c r="C38" s="24"/>
      <c r="D38" s="24"/>
      <c r="E38" s="24"/>
      <c r="F38" s="24"/>
      <c r="G38" s="25"/>
      <c r="H38" s="25"/>
      <c r="I38" s="25"/>
      <c r="J38" s="25"/>
      <c r="K38" s="25"/>
      <c r="L38" s="25"/>
      <c r="M38" s="25"/>
      <c r="N38" s="25"/>
      <c r="O38" s="25"/>
      <c r="P38" s="25"/>
      <c r="Q38" s="24"/>
      <c r="R38" s="26"/>
      <c r="S38" s="26"/>
      <c r="T38" s="26"/>
      <c r="U38" s="27"/>
      <c r="V38" s="20" t="str">
        <f>IF(I38 &lt;&gt; "", VLOOKUP(I38, City!$A$1:$B$2, 2, FALSE), "" )</f>
        <v/>
      </c>
      <c r="W38" s="20" t="str">
        <f>IF(J38 &lt;&gt; "", VLOOKUP(J38, District!$A$1:$B$25, 2, FALSE), "")</f>
        <v/>
      </c>
      <c r="X38" s="21" t="str">
        <f>IF(K38 &lt;&gt; "", VLOOKUP(K38, IF(J38="Quận 1", Ward!$A$2:$B$11, IF(J38="Quận 2", Ward!$C$2:$D$12, IF(J38="Quận 3", Ward!$E$2:$F$15, IF(J38="Quận 4", Ward!$G$2:$H$16, IF(J38="Quận 5", Ward!$I$2:$J$16, IF(J38="Quận 6", Ward!$K$2:$L$15, IF(J38="Quận 7", Ward!$M$2:$N$11, IF(J38="Quận 8", Ward!$O$2:$P$17, IF(J38="Quận 9", Ward!$Q$2:$R$14, IF(J38="Quận 10", Ward!$S$2:$T$16, IF(J38="Quận 11", Ward!$U$2:$V$17, IF(J38="Quận 12", Ward!$W$2:$X$12, IF(J38="Huyện Bình Chánh", Ward!$Y$2:$Z$17, IF(J38="Quận Bình Tân", Ward!$AA$2:$AB$11, IF(J38="Quận Bình Thạnh", Ward!$AC$2:$AD$21, IF(J38="Huyện Cần Giờ", Ward!$AE$2:$AF$8, IF(J38="Huyện Củ Chi", Ward!$AG$2:$AH$22, IF(J38="Quận Gò Vấp", Ward!$AI$2:$AJ$17, IF(J38="Huyện Hóc Môn", Ward!$AK$2:$AL$13, IF(J38="Huyện Nhà Bè", Ward!$AM$2:$AN$8, IF(J38="Quận Phú Nhuận", Ward!$AO$2:$AP$16, IF(J38="Quận Tân Bình", Ward!$AQ$2:$AR$16, IF(J38="Quận Tân Phú", Ward!$AS$2:$AT$12, IF(J38="Quận Thủ Đức", Ward!$AU$2:$AV$13)))))))))))))))))))))))), 2, FALSE), "")</f>
        <v/>
      </c>
      <c r="Y38" s="20" t="str">
        <f>IF(B38 &lt;&gt; "", VLOOKUP(B38, HospitalType!$A$2:$B$9, 2, FALSE), "")</f>
        <v/>
      </c>
    </row>
    <row r="39" spans="1:25" x14ac:dyDescent="0.25">
      <c r="A39" s="34"/>
      <c r="B39" s="24"/>
      <c r="C39" s="24"/>
      <c r="D39" s="24"/>
      <c r="E39" s="24"/>
      <c r="F39" s="24"/>
      <c r="G39" s="25"/>
      <c r="H39" s="25"/>
      <c r="I39" s="25"/>
      <c r="J39" s="25"/>
      <c r="K39" s="25"/>
      <c r="L39" s="25"/>
      <c r="M39" s="25"/>
      <c r="N39" s="25"/>
      <c r="O39" s="25"/>
      <c r="P39" s="25"/>
      <c r="Q39" s="24"/>
      <c r="R39" s="26"/>
      <c r="S39" s="26"/>
      <c r="T39" s="26"/>
      <c r="U39" s="27"/>
      <c r="V39" s="20" t="str">
        <f>IF(I39 &lt;&gt; "", VLOOKUP(I39, City!$A$1:$B$2, 2, FALSE), "" )</f>
        <v/>
      </c>
      <c r="W39" s="20" t="str">
        <f>IF(J39 &lt;&gt; "", VLOOKUP(J39, District!$A$1:$B$25, 2, FALSE), "")</f>
        <v/>
      </c>
      <c r="X39" s="21" t="str">
        <f>IF(K39 &lt;&gt; "", VLOOKUP(K39, IF(J39="Quận 1", Ward!$A$2:$B$11, IF(J39="Quận 2", Ward!$C$2:$D$12, IF(J39="Quận 3", Ward!$E$2:$F$15, IF(J39="Quận 4", Ward!$G$2:$H$16, IF(J39="Quận 5", Ward!$I$2:$J$16, IF(J39="Quận 6", Ward!$K$2:$L$15, IF(J39="Quận 7", Ward!$M$2:$N$11, IF(J39="Quận 8", Ward!$O$2:$P$17, IF(J39="Quận 9", Ward!$Q$2:$R$14, IF(J39="Quận 10", Ward!$S$2:$T$16, IF(J39="Quận 11", Ward!$U$2:$V$17, IF(J39="Quận 12", Ward!$W$2:$X$12, IF(J39="Huyện Bình Chánh", Ward!$Y$2:$Z$17, IF(J39="Quận Bình Tân", Ward!$AA$2:$AB$11, IF(J39="Quận Bình Thạnh", Ward!$AC$2:$AD$21, IF(J39="Huyện Cần Giờ", Ward!$AE$2:$AF$8, IF(J39="Huyện Củ Chi", Ward!$AG$2:$AH$22, IF(J39="Quận Gò Vấp", Ward!$AI$2:$AJ$17, IF(J39="Huyện Hóc Môn", Ward!$AK$2:$AL$13, IF(J39="Huyện Nhà Bè", Ward!$AM$2:$AN$8, IF(J39="Quận Phú Nhuận", Ward!$AO$2:$AP$16, IF(J39="Quận Tân Bình", Ward!$AQ$2:$AR$16, IF(J39="Quận Tân Phú", Ward!$AS$2:$AT$12, IF(J39="Quận Thủ Đức", Ward!$AU$2:$AV$13)))))))))))))))))))))))), 2, FALSE), "")</f>
        <v/>
      </c>
      <c r="Y39" s="20" t="str">
        <f>IF(B39 &lt;&gt; "", VLOOKUP(B39, HospitalType!$A$2:$B$9, 2, FALSE), "")</f>
        <v/>
      </c>
    </row>
    <row r="40" spans="1:25" x14ac:dyDescent="0.25">
      <c r="A40" s="34"/>
      <c r="B40" s="24"/>
      <c r="C40" s="24"/>
      <c r="D40" s="24"/>
      <c r="E40" s="24"/>
      <c r="F40" s="24"/>
      <c r="G40" s="25"/>
      <c r="H40" s="25"/>
      <c r="I40" s="25"/>
      <c r="J40" s="25"/>
      <c r="K40" s="25"/>
      <c r="L40" s="25"/>
      <c r="M40" s="25"/>
      <c r="N40" s="25"/>
      <c r="O40" s="25"/>
      <c r="P40" s="25"/>
      <c r="Q40" s="24"/>
      <c r="R40" s="26"/>
      <c r="S40" s="26"/>
      <c r="T40" s="26"/>
      <c r="U40" s="27"/>
      <c r="V40" s="20" t="str">
        <f>IF(I40 &lt;&gt; "", VLOOKUP(I40, City!$A$1:$B$2, 2, FALSE), "" )</f>
        <v/>
      </c>
      <c r="W40" s="20" t="str">
        <f>IF(J40 &lt;&gt; "", VLOOKUP(J40, District!$A$1:$B$25, 2, FALSE), "")</f>
        <v/>
      </c>
      <c r="X40" s="21" t="str">
        <f>IF(K40 &lt;&gt; "", VLOOKUP(K40, IF(J40="Quận 1", Ward!$A$2:$B$11, IF(J40="Quận 2", Ward!$C$2:$D$12, IF(J40="Quận 3", Ward!$E$2:$F$15, IF(J40="Quận 4", Ward!$G$2:$H$16, IF(J40="Quận 5", Ward!$I$2:$J$16, IF(J40="Quận 6", Ward!$K$2:$L$15, IF(J40="Quận 7", Ward!$M$2:$N$11, IF(J40="Quận 8", Ward!$O$2:$P$17, IF(J40="Quận 9", Ward!$Q$2:$R$14, IF(J40="Quận 10", Ward!$S$2:$T$16, IF(J40="Quận 11", Ward!$U$2:$V$17, IF(J40="Quận 12", Ward!$W$2:$X$12, IF(J40="Huyện Bình Chánh", Ward!$Y$2:$Z$17, IF(J40="Quận Bình Tân", Ward!$AA$2:$AB$11, IF(J40="Quận Bình Thạnh", Ward!$AC$2:$AD$21, IF(J40="Huyện Cần Giờ", Ward!$AE$2:$AF$8, IF(J40="Huyện Củ Chi", Ward!$AG$2:$AH$22, IF(J40="Quận Gò Vấp", Ward!$AI$2:$AJ$17, IF(J40="Huyện Hóc Môn", Ward!$AK$2:$AL$13, IF(J40="Huyện Nhà Bè", Ward!$AM$2:$AN$8, IF(J40="Quận Phú Nhuận", Ward!$AO$2:$AP$16, IF(J40="Quận Tân Bình", Ward!$AQ$2:$AR$16, IF(J40="Quận Tân Phú", Ward!$AS$2:$AT$12, IF(J40="Quận Thủ Đức", Ward!$AU$2:$AV$13)))))))))))))))))))))))), 2, FALSE), "")</f>
        <v/>
      </c>
      <c r="Y40" s="20" t="str">
        <f>IF(B40 &lt;&gt; "", VLOOKUP(B40, HospitalType!$A$2:$B$9, 2, FALSE), "")</f>
        <v/>
      </c>
    </row>
    <row r="41" spans="1:25" x14ac:dyDescent="0.25">
      <c r="A41" s="34"/>
      <c r="B41" s="24"/>
      <c r="C41" s="24"/>
      <c r="D41" s="24"/>
      <c r="E41" s="24"/>
      <c r="F41" s="24"/>
      <c r="G41" s="25"/>
      <c r="H41" s="25"/>
      <c r="I41" s="25"/>
      <c r="J41" s="25"/>
      <c r="K41" s="25"/>
      <c r="L41" s="25"/>
      <c r="M41" s="25"/>
      <c r="N41" s="25"/>
      <c r="O41" s="25"/>
      <c r="P41" s="25"/>
      <c r="Q41" s="24"/>
      <c r="R41" s="26"/>
      <c r="S41" s="26"/>
      <c r="T41" s="26"/>
      <c r="U41" s="27"/>
      <c r="V41" s="20" t="str">
        <f>IF(I41 &lt;&gt; "", VLOOKUP(I41, City!$A$1:$B$2, 2, FALSE), "" )</f>
        <v/>
      </c>
      <c r="W41" s="20" t="str">
        <f>IF(J41 &lt;&gt; "", VLOOKUP(J41, District!$A$1:$B$25, 2, FALSE), "")</f>
        <v/>
      </c>
      <c r="X41" s="21" t="str">
        <f>IF(K41 &lt;&gt; "", VLOOKUP(K41, IF(J41="Quận 1", Ward!$A$2:$B$11, IF(J41="Quận 2", Ward!$C$2:$D$12, IF(J41="Quận 3", Ward!$E$2:$F$15, IF(J41="Quận 4", Ward!$G$2:$H$16, IF(J41="Quận 5", Ward!$I$2:$J$16, IF(J41="Quận 6", Ward!$K$2:$L$15, IF(J41="Quận 7", Ward!$M$2:$N$11, IF(J41="Quận 8", Ward!$O$2:$P$17, IF(J41="Quận 9", Ward!$Q$2:$R$14, IF(J41="Quận 10", Ward!$S$2:$T$16, IF(J41="Quận 11", Ward!$U$2:$V$17, IF(J41="Quận 12", Ward!$W$2:$X$12, IF(J41="Huyện Bình Chánh", Ward!$Y$2:$Z$17, IF(J41="Quận Bình Tân", Ward!$AA$2:$AB$11, IF(J41="Quận Bình Thạnh", Ward!$AC$2:$AD$21, IF(J41="Huyện Cần Giờ", Ward!$AE$2:$AF$8, IF(J41="Huyện Củ Chi", Ward!$AG$2:$AH$22, IF(J41="Quận Gò Vấp", Ward!$AI$2:$AJ$17, IF(J41="Huyện Hóc Môn", Ward!$AK$2:$AL$13, IF(J41="Huyện Nhà Bè", Ward!$AM$2:$AN$8, IF(J41="Quận Phú Nhuận", Ward!$AO$2:$AP$16, IF(J41="Quận Tân Bình", Ward!$AQ$2:$AR$16, IF(J41="Quận Tân Phú", Ward!$AS$2:$AT$12, IF(J41="Quận Thủ Đức", Ward!$AU$2:$AV$13)))))))))))))))))))))))), 2, FALSE), "")</f>
        <v/>
      </c>
      <c r="Y41" s="20" t="str">
        <f>IF(B41 &lt;&gt; "", VLOOKUP(B41, HospitalType!$A$2:$B$9, 2, FALSE), "")</f>
        <v/>
      </c>
    </row>
    <row r="42" spans="1:25" x14ac:dyDescent="0.25">
      <c r="A42" s="34"/>
      <c r="B42" s="24"/>
      <c r="C42" s="24"/>
      <c r="D42" s="24"/>
      <c r="E42" s="24"/>
      <c r="F42" s="24"/>
      <c r="G42" s="25"/>
      <c r="H42" s="25"/>
      <c r="I42" s="25"/>
      <c r="J42" s="25"/>
      <c r="K42" s="25"/>
      <c r="L42" s="25"/>
      <c r="M42" s="25"/>
      <c r="N42" s="25"/>
      <c r="O42" s="25"/>
      <c r="P42" s="25"/>
      <c r="Q42" s="24"/>
      <c r="R42" s="26"/>
      <c r="S42" s="26"/>
      <c r="T42" s="26"/>
      <c r="U42" s="27"/>
      <c r="V42" s="20" t="str">
        <f>IF(I42 &lt;&gt; "", VLOOKUP(I42, City!$A$1:$B$2, 2, FALSE), "" )</f>
        <v/>
      </c>
      <c r="W42" s="20" t="str">
        <f>IF(J42 &lt;&gt; "", VLOOKUP(J42, District!$A$1:$B$25, 2, FALSE), "")</f>
        <v/>
      </c>
      <c r="X42" s="21" t="str">
        <f>IF(K42 &lt;&gt; "", VLOOKUP(K42, IF(J42="Quận 1", Ward!$A$2:$B$11, IF(J42="Quận 2", Ward!$C$2:$D$12, IF(J42="Quận 3", Ward!$E$2:$F$15, IF(J42="Quận 4", Ward!$G$2:$H$16, IF(J42="Quận 5", Ward!$I$2:$J$16, IF(J42="Quận 6", Ward!$K$2:$L$15, IF(J42="Quận 7", Ward!$M$2:$N$11, IF(J42="Quận 8", Ward!$O$2:$P$17, IF(J42="Quận 9", Ward!$Q$2:$R$14, IF(J42="Quận 10", Ward!$S$2:$T$16, IF(J42="Quận 11", Ward!$U$2:$V$17, IF(J42="Quận 12", Ward!$W$2:$X$12, IF(J42="Huyện Bình Chánh", Ward!$Y$2:$Z$17, IF(J42="Quận Bình Tân", Ward!$AA$2:$AB$11, IF(J42="Quận Bình Thạnh", Ward!$AC$2:$AD$21, IF(J42="Huyện Cần Giờ", Ward!$AE$2:$AF$8, IF(J42="Huyện Củ Chi", Ward!$AG$2:$AH$22, IF(J42="Quận Gò Vấp", Ward!$AI$2:$AJ$17, IF(J42="Huyện Hóc Môn", Ward!$AK$2:$AL$13, IF(J42="Huyện Nhà Bè", Ward!$AM$2:$AN$8, IF(J42="Quận Phú Nhuận", Ward!$AO$2:$AP$16, IF(J42="Quận Tân Bình", Ward!$AQ$2:$AR$16, IF(J42="Quận Tân Phú", Ward!$AS$2:$AT$12, IF(J42="Quận Thủ Đức", Ward!$AU$2:$AV$13)))))))))))))))))))))))), 2, FALSE), "")</f>
        <v/>
      </c>
      <c r="Y42" s="20" t="str">
        <f>IF(B42 &lt;&gt; "", VLOOKUP(B42, HospitalType!$A$2:$B$9, 2, FALSE), "")</f>
        <v/>
      </c>
    </row>
    <row r="43" spans="1:25" x14ac:dyDescent="0.25">
      <c r="A43" s="34"/>
      <c r="B43" s="24"/>
      <c r="C43" s="24"/>
      <c r="D43" s="24"/>
      <c r="E43" s="24"/>
      <c r="F43" s="24"/>
      <c r="G43" s="25"/>
      <c r="H43" s="25"/>
      <c r="I43" s="25"/>
      <c r="J43" s="25"/>
      <c r="K43" s="25"/>
      <c r="L43" s="25"/>
      <c r="M43" s="25"/>
      <c r="N43" s="25"/>
      <c r="O43" s="25"/>
      <c r="P43" s="25"/>
      <c r="Q43" s="24"/>
      <c r="R43" s="26"/>
      <c r="S43" s="26"/>
      <c r="T43" s="26"/>
      <c r="U43" s="27"/>
      <c r="V43" s="20" t="str">
        <f>IF(I43 &lt;&gt; "", VLOOKUP(I43, City!$A$1:$B$2, 2, FALSE), "" )</f>
        <v/>
      </c>
      <c r="W43" s="20" t="str">
        <f>IF(J43 &lt;&gt; "", VLOOKUP(J43, District!$A$1:$B$25, 2, FALSE), "")</f>
        <v/>
      </c>
      <c r="X43" s="21" t="str">
        <f>IF(K43 &lt;&gt; "", VLOOKUP(K43, IF(J43="Quận 1", Ward!$A$2:$B$11, IF(J43="Quận 2", Ward!$C$2:$D$12, IF(J43="Quận 3", Ward!$E$2:$F$15, IF(J43="Quận 4", Ward!$G$2:$H$16, IF(J43="Quận 5", Ward!$I$2:$J$16, IF(J43="Quận 6", Ward!$K$2:$L$15, IF(J43="Quận 7", Ward!$M$2:$N$11, IF(J43="Quận 8", Ward!$O$2:$P$17, IF(J43="Quận 9", Ward!$Q$2:$R$14, IF(J43="Quận 10", Ward!$S$2:$T$16, IF(J43="Quận 11", Ward!$U$2:$V$17, IF(J43="Quận 12", Ward!$W$2:$X$12, IF(J43="Huyện Bình Chánh", Ward!$Y$2:$Z$17, IF(J43="Quận Bình Tân", Ward!$AA$2:$AB$11, IF(J43="Quận Bình Thạnh", Ward!$AC$2:$AD$21, IF(J43="Huyện Cần Giờ", Ward!$AE$2:$AF$8, IF(J43="Huyện Củ Chi", Ward!$AG$2:$AH$22, IF(J43="Quận Gò Vấp", Ward!$AI$2:$AJ$17, IF(J43="Huyện Hóc Môn", Ward!$AK$2:$AL$13, IF(J43="Huyện Nhà Bè", Ward!$AM$2:$AN$8, IF(J43="Quận Phú Nhuận", Ward!$AO$2:$AP$16, IF(J43="Quận Tân Bình", Ward!$AQ$2:$AR$16, IF(J43="Quận Tân Phú", Ward!$AS$2:$AT$12, IF(J43="Quận Thủ Đức", Ward!$AU$2:$AV$13)))))))))))))))))))))))), 2, FALSE), "")</f>
        <v/>
      </c>
      <c r="Y43" s="20" t="str">
        <f>IF(B43 &lt;&gt; "", VLOOKUP(B43, HospitalType!$A$2:$B$9, 2, FALSE), "")</f>
        <v/>
      </c>
    </row>
    <row r="44" spans="1:25" x14ac:dyDescent="0.25">
      <c r="A44" s="34"/>
      <c r="B44" s="24"/>
      <c r="C44" s="24"/>
      <c r="D44" s="24"/>
      <c r="E44" s="24"/>
      <c r="F44" s="24"/>
      <c r="G44" s="25"/>
      <c r="H44" s="25"/>
      <c r="I44" s="25"/>
      <c r="J44" s="25"/>
      <c r="K44" s="25"/>
      <c r="L44" s="25"/>
      <c r="M44" s="25"/>
      <c r="N44" s="25"/>
      <c r="O44" s="25"/>
      <c r="P44" s="25"/>
      <c r="Q44" s="24"/>
      <c r="R44" s="26"/>
      <c r="S44" s="26"/>
      <c r="T44" s="26"/>
      <c r="U44" s="27"/>
      <c r="V44" s="20" t="str">
        <f>IF(I44 &lt;&gt; "", VLOOKUP(I44, City!$A$1:$B$2, 2, FALSE), "" )</f>
        <v/>
      </c>
      <c r="W44" s="20" t="str">
        <f>IF(J44 &lt;&gt; "", VLOOKUP(J44, District!$A$1:$B$25, 2, FALSE), "")</f>
        <v/>
      </c>
      <c r="X44" s="21" t="str">
        <f>IF(K44 &lt;&gt; "", VLOOKUP(K44, IF(J44="Quận 1", Ward!$A$2:$B$11, IF(J44="Quận 2", Ward!$C$2:$D$12, IF(J44="Quận 3", Ward!$E$2:$F$15, IF(J44="Quận 4", Ward!$G$2:$H$16, IF(J44="Quận 5", Ward!$I$2:$J$16, IF(J44="Quận 6", Ward!$K$2:$L$15, IF(J44="Quận 7", Ward!$M$2:$N$11, IF(J44="Quận 8", Ward!$O$2:$P$17, IF(J44="Quận 9", Ward!$Q$2:$R$14, IF(J44="Quận 10", Ward!$S$2:$T$16, IF(J44="Quận 11", Ward!$U$2:$V$17, IF(J44="Quận 12", Ward!$W$2:$X$12, IF(J44="Huyện Bình Chánh", Ward!$Y$2:$Z$17, IF(J44="Quận Bình Tân", Ward!$AA$2:$AB$11, IF(J44="Quận Bình Thạnh", Ward!$AC$2:$AD$21, IF(J44="Huyện Cần Giờ", Ward!$AE$2:$AF$8, IF(J44="Huyện Củ Chi", Ward!$AG$2:$AH$22, IF(J44="Quận Gò Vấp", Ward!$AI$2:$AJ$17, IF(J44="Huyện Hóc Môn", Ward!$AK$2:$AL$13, IF(J44="Huyện Nhà Bè", Ward!$AM$2:$AN$8, IF(J44="Quận Phú Nhuận", Ward!$AO$2:$AP$16, IF(J44="Quận Tân Bình", Ward!$AQ$2:$AR$16, IF(J44="Quận Tân Phú", Ward!$AS$2:$AT$12, IF(J44="Quận Thủ Đức", Ward!$AU$2:$AV$13)))))))))))))))))))))))), 2, FALSE), "")</f>
        <v/>
      </c>
      <c r="Y44" s="20" t="str">
        <f>IF(B44 &lt;&gt; "", VLOOKUP(B44, HospitalType!$A$2:$B$9, 2, FALSE), "")</f>
        <v/>
      </c>
    </row>
    <row r="45" spans="1:25" x14ac:dyDescent="0.25">
      <c r="A45" s="34"/>
      <c r="B45" s="24"/>
      <c r="C45" s="24"/>
      <c r="D45" s="24"/>
      <c r="E45" s="24"/>
      <c r="F45" s="24"/>
      <c r="G45" s="25"/>
      <c r="H45" s="25"/>
      <c r="I45" s="25"/>
      <c r="J45" s="25"/>
      <c r="K45" s="25"/>
      <c r="L45" s="25"/>
      <c r="M45" s="25"/>
      <c r="N45" s="25"/>
      <c r="O45" s="25"/>
      <c r="P45" s="25"/>
      <c r="Q45" s="24"/>
      <c r="R45" s="26"/>
      <c r="S45" s="26"/>
      <c r="T45" s="26"/>
      <c r="U45" s="27"/>
      <c r="V45" s="20" t="str">
        <f>IF(I45 &lt;&gt; "", VLOOKUP(I45, City!$A$1:$B$2, 2, FALSE), "" )</f>
        <v/>
      </c>
      <c r="W45" s="20" t="str">
        <f>IF(J45 &lt;&gt; "", VLOOKUP(J45, District!$A$1:$B$25, 2, FALSE), "")</f>
        <v/>
      </c>
      <c r="X45" s="21" t="str">
        <f>IF(K45 &lt;&gt; "", VLOOKUP(K45, IF(J45="Quận 1", Ward!$A$2:$B$11, IF(J45="Quận 2", Ward!$C$2:$D$12, IF(J45="Quận 3", Ward!$E$2:$F$15, IF(J45="Quận 4", Ward!$G$2:$H$16, IF(J45="Quận 5", Ward!$I$2:$J$16, IF(J45="Quận 6", Ward!$K$2:$L$15, IF(J45="Quận 7", Ward!$M$2:$N$11, IF(J45="Quận 8", Ward!$O$2:$P$17, IF(J45="Quận 9", Ward!$Q$2:$R$14, IF(J45="Quận 10", Ward!$S$2:$T$16, IF(J45="Quận 11", Ward!$U$2:$V$17, IF(J45="Quận 12", Ward!$W$2:$X$12, IF(J45="Huyện Bình Chánh", Ward!$Y$2:$Z$17, IF(J45="Quận Bình Tân", Ward!$AA$2:$AB$11, IF(J45="Quận Bình Thạnh", Ward!$AC$2:$AD$21, IF(J45="Huyện Cần Giờ", Ward!$AE$2:$AF$8, IF(J45="Huyện Củ Chi", Ward!$AG$2:$AH$22, IF(J45="Quận Gò Vấp", Ward!$AI$2:$AJ$17, IF(J45="Huyện Hóc Môn", Ward!$AK$2:$AL$13, IF(J45="Huyện Nhà Bè", Ward!$AM$2:$AN$8, IF(J45="Quận Phú Nhuận", Ward!$AO$2:$AP$16, IF(J45="Quận Tân Bình", Ward!$AQ$2:$AR$16, IF(J45="Quận Tân Phú", Ward!$AS$2:$AT$12, IF(J45="Quận Thủ Đức", Ward!$AU$2:$AV$13)))))))))))))))))))))))), 2, FALSE), "")</f>
        <v/>
      </c>
      <c r="Y45" s="20" t="str">
        <f>IF(B45 &lt;&gt; "", VLOOKUP(B45, HospitalType!$A$2:$B$9, 2, FALSE), "")</f>
        <v/>
      </c>
    </row>
    <row r="46" spans="1:25" x14ac:dyDescent="0.25">
      <c r="A46" s="34"/>
      <c r="B46" s="24"/>
      <c r="C46" s="24"/>
      <c r="D46" s="24"/>
      <c r="E46" s="24"/>
      <c r="F46" s="24"/>
      <c r="G46" s="25"/>
      <c r="H46" s="25"/>
      <c r="I46" s="25"/>
      <c r="J46" s="25"/>
      <c r="K46" s="25"/>
      <c r="L46" s="25"/>
      <c r="M46" s="25"/>
      <c r="N46" s="25"/>
      <c r="O46" s="25"/>
      <c r="P46" s="25"/>
      <c r="Q46" s="24"/>
      <c r="R46" s="26"/>
      <c r="S46" s="26"/>
      <c r="T46" s="26"/>
      <c r="U46" s="27"/>
      <c r="V46" s="20" t="str">
        <f>IF(I46 &lt;&gt; "", VLOOKUP(I46, City!$A$1:$B$2, 2, FALSE), "" )</f>
        <v/>
      </c>
      <c r="W46" s="20" t="str">
        <f>IF(J46 &lt;&gt; "", VLOOKUP(J46, District!$A$1:$B$25, 2, FALSE), "")</f>
        <v/>
      </c>
      <c r="X46" s="21" t="str">
        <f>IF(K46 &lt;&gt; "", VLOOKUP(K46, IF(J46="Quận 1", Ward!$A$2:$B$11, IF(J46="Quận 2", Ward!$C$2:$D$12, IF(J46="Quận 3", Ward!$E$2:$F$15, IF(J46="Quận 4", Ward!$G$2:$H$16, IF(J46="Quận 5", Ward!$I$2:$J$16, IF(J46="Quận 6", Ward!$K$2:$L$15, IF(J46="Quận 7", Ward!$M$2:$N$11, IF(J46="Quận 8", Ward!$O$2:$P$17, IF(J46="Quận 9", Ward!$Q$2:$R$14, IF(J46="Quận 10", Ward!$S$2:$T$16, IF(J46="Quận 11", Ward!$U$2:$V$17, IF(J46="Quận 12", Ward!$W$2:$X$12, IF(J46="Huyện Bình Chánh", Ward!$Y$2:$Z$17, IF(J46="Quận Bình Tân", Ward!$AA$2:$AB$11, IF(J46="Quận Bình Thạnh", Ward!$AC$2:$AD$21, IF(J46="Huyện Cần Giờ", Ward!$AE$2:$AF$8, IF(J46="Huyện Củ Chi", Ward!$AG$2:$AH$22, IF(J46="Quận Gò Vấp", Ward!$AI$2:$AJ$17, IF(J46="Huyện Hóc Môn", Ward!$AK$2:$AL$13, IF(J46="Huyện Nhà Bè", Ward!$AM$2:$AN$8, IF(J46="Quận Phú Nhuận", Ward!$AO$2:$AP$16, IF(J46="Quận Tân Bình", Ward!$AQ$2:$AR$16, IF(J46="Quận Tân Phú", Ward!$AS$2:$AT$12, IF(J46="Quận Thủ Đức", Ward!$AU$2:$AV$13)))))))))))))))))))))))), 2, FALSE), "")</f>
        <v/>
      </c>
      <c r="Y46" s="20" t="str">
        <f>IF(B46 &lt;&gt; "", VLOOKUP(B46, HospitalType!$A$2:$B$9, 2, FALSE), "")</f>
        <v/>
      </c>
    </row>
    <row r="47" spans="1:25" x14ac:dyDescent="0.25">
      <c r="A47" s="34"/>
      <c r="B47" s="24"/>
      <c r="C47" s="24"/>
      <c r="D47" s="24"/>
      <c r="E47" s="24"/>
      <c r="F47" s="24"/>
      <c r="G47" s="25"/>
      <c r="H47" s="25"/>
      <c r="I47" s="25"/>
      <c r="J47" s="25"/>
      <c r="K47" s="25"/>
      <c r="L47" s="25"/>
      <c r="M47" s="25"/>
      <c r="N47" s="25"/>
      <c r="O47" s="25"/>
      <c r="P47" s="25"/>
      <c r="Q47" s="24"/>
      <c r="R47" s="26"/>
      <c r="S47" s="26"/>
      <c r="T47" s="26"/>
      <c r="U47" s="27"/>
      <c r="V47" s="20" t="str">
        <f>IF(I47 &lt;&gt; "", VLOOKUP(I47, City!$A$1:$B$2, 2, FALSE), "" )</f>
        <v/>
      </c>
      <c r="W47" s="20" t="str">
        <f>IF(J47 &lt;&gt; "", VLOOKUP(J47, District!$A$1:$B$25, 2, FALSE), "")</f>
        <v/>
      </c>
      <c r="X47" s="21" t="str">
        <f>IF(K47 &lt;&gt; "", VLOOKUP(K47, IF(J47="Quận 1", Ward!$A$2:$B$11, IF(J47="Quận 2", Ward!$C$2:$D$12, IF(J47="Quận 3", Ward!$E$2:$F$15, IF(J47="Quận 4", Ward!$G$2:$H$16, IF(J47="Quận 5", Ward!$I$2:$J$16, IF(J47="Quận 6", Ward!$K$2:$L$15, IF(J47="Quận 7", Ward!$M$2:$N$11, IF(J47="Quận 8", Ward!$O$2:$P$17, IF(J47="Quận 9", Ward!$Q$2:$R$14, IF(J47="Quận 10", Ward!$S$2:$T$16, IF(J47="Quận 11", Ward!$U$2:$V$17, IF(J47="Quận 12", Ward!$W$2:$X$12, IF(J47="Huyện Bình Chánh", Ward!$Y$2:$Z$17, IF(J47="Quận Bình Tân", Ward!$AA$2:$AB$11, IF(J47="Quận Bình Thạnh", Ward!$AC$2:$AD$21, IF(J47="Huyện Cần Giờ", Ward!$AE$2:$AF$8, IF(J47="Huyện Củ Chi", Ward!$AG$2:$AH$22, IF(J47="Quận Gò Vấp", Ward!$AI$2:$AJ$17, IF(J47="Huyện Hóc Môn", Ward!$AK$2:$AL$13, IF(J47="Huyện Nhà Bè", Ward!$AM$2:$AN$8, IF(J47="Quận Phú Nhuận", Ward!$AO$2:$AP$16, IF(J47="Quận Tân Bình", Ward!$AQ$2:$AR$16, IF(J47="Quận Tân Phú", Ward!$AS$2:$AT$12, IF(J47="Quận Thủ Đức", Ward!$AU$2:$AV$13)))))))))))))))))))))))), 2, FALSE), "")</f>
        <v/>
      </c>
      <c r="Y47" s="20" t="str">
        <f>IF(B47 &lt;&gt; "", VLOOKUP(B47, HospitalType!$A$2:$B$9, 2, FALSE), "")</f>
        <v/>
      </c>
    </row>
    <row r="48" spans="1:25" x14ac:dyDescent="0.25">
      <c r="A48" s="34"/>
      <c r="B48" s="24"/>
      <c r="C48" s="24"/>
      <c r="D48" s="24"/>
      <c r="E48" s="24"/>
      <c r="F48" s="24"/>
      <c r="G48" s="25"/>
      <c r="H48" s="25"/>
      <c r="I48" s="25"/>
      <c r="J48" s="25"/>
      <c r="K48" s="25"/>
      <c r="L48" s="25"/>
      <c r="M48" s="25"/>
      <c r="N48" s="25"/>
      <c r="O48" s="25"/>
      <c r="P48" s="25"/>
      <c r="Q48" s="24"/>
      <c r="R48" s="26"/>
      <c r="S48" s="26"/>
      <c r="T48" s="26"/>
      <c r="U48" s="27"/>
      <c r="V48" s="20" t="str">
        <f>IF(I48 &lt;&gt; "", VLOOKUP(I48, City!$A$1:$B$2, 2, FALSE), "" )</f>
        <v/>
      </c>
      <c r="W48" s="20" t="str">
        <f>IF(J48 &lt;&gt; "", VLOOKUP(J48, District!$A$1:$B$25, 2, FALSE), "")</f>
        <v/>
      </c>
      <c r="X48" s="21" t="str">
        <f>IF(K48 &lt;&gt; "", VLOOKUP(K48, IF(J48="Quận 1", Ward!$A$2:$B$11, IF(J48="Quận 2", Ward!$C$2:$D$12, IF(J48="Quận 3", Ward!$E$2:$F$15, IF(J48="Quận 4", Ward!$G$2:$H$16, IF(J48="Quận 5", Ward!$I$2:$J$16, IF(J48="Quận 6", Ward!$K$2:$L$15, IF(J48="Quận 7", Ward!$M$2:$N$11, IF(J48="Quận 8", Ward!$O$2:$P$17, IF(J48="Quận 9", Ward!$Q$2:$R$14, IF(J48="Quận 10", Ward!$S$2:$T$16, IF(J48="Quận 11", Ward!$U$2:$V$17, IF(J48="Quận 12", Ward!$W$2:$X$12, IF(J48="Huyện Bình Chánh", Ward!$Y$2:$Z$17, IF(J48="Quận Bình Tân", Ward!$AA$2:$AB$11, IF(J48="Quận Bình Thạnh", Ward!$AC$2:$AD$21, IF(J48="Huyện Cần Giờ", Ward!$AE$2:$AF$8, IF(J48="Huyện Củ Chi", Ward!$AG$2:$AH$22, IF(J48="Quận Gò Vấp", Ward!$AI$2:$AJ$17, IF(J48="Huyện Hóc Môn", Ward!$AK$2:$AL$13, IF(J48="Huyện Nhà Bè", Ward!$AM$2:$AN$8, IF(J48="Quận Phú Nhuận", Ward!$AO$2:$AP$16, IF(J48="Quận Tân Bình", Ward!$AQ$2:$AR$16, IF(J48="Quận Tân Phú", Ward!$AS$2:$AT$12, IF(J48="Quận Thủ Đức", Ward!$AU$2:$AV$13)))))))))))))))))))))))), 2, FALSE), "")</f>
        <v/>
      </c>
      <c r="Y48" s="20" t="str">
        <f>IF(B48 &lt;&gt; "", VLOOKUP(B48, HospitalType!$A$2:$B$9, 2, FALSE), "")</f>
        <v/>
      </c>
    </row>
    <row r="49" spans="1:25" x14ac:dyDescent="0.25">
      <c r="A49" s="34"/>
      <c r="B49" s="24"/>
      <c r="C49" s="24"/>
      <c r="D49" s="24"/>
      <c r="E49" s="24"/>
      <c r="F49" s="24"/>
      <c r="G49" s="25"/>
      <c r="H49" s="25"/>
      <c r="I49" s="25"/>
      <c r="J49" s="25"/>
      <c r="K49" s="25"/>
      <c r="L49" s="25"/>
      <c r="M49" s="25"/>
      <c r="N49" s="25"/>
      <c r="O49" s="25"/>
      <c r="P49" s="25"/>
      <c r="Q49" s="24"/>
      <c r="R49" s="26"/>
      <c r="S49" s="26"/>
      <c r="T49" s="26"/>
      <c r="U49" s="27"/>
      <c r="V49" s="20" t="str">
        <f>IF(I49 &lt;&gt; "", VLOOKUP(I49, City!$A$1:$B$2, 2, FALSE), "" )</f>
        <v/>
      </c>
      <c r="W49" s="20" t="str">
        <f>IF(J49 &lt;&gt; "", VLOOKUP(J49, District!$A$1:$B$25, 2, FALSE), "")</f>
        <v/>
      </c>
      <c r="X49" s="21" t="str">
        <f>IF(K49 &lt;&gt; "", VLOOKUP(K49, IF(J49="Quận 1", Ward!$A$2:$B$11, IF(J49="Quận 2", Ward!$C$2:$D$12, IF(J49="Quận 3", Ward!$E$2:$F$15, IF(J49="Quận 4", Ward!$G$2:$H$16, IF(J49="Quận 5", Ward!$I$2:$J$16, IF(J49="Quận 6", Ward!$K$2:$L$15, IF(J49="Quận 7", Ward!$M$2:$N$11, IF(J49="Quận 8", Ward!$O$2:$P$17, IF(J49="Quận 9", Ward!$Q$2:$R$14, IF(J49="Quận 10", Ward!$S$2:$T$16, IF(J49="Quận 11", Ward!$U$2:$V$17, IF(J49="Quận 12", Ward!$W$2:$X$12, IF(J49="Huyện Bình Chánh", Ward!$Y$2:$Z$17, IF(J49="Quận Bình Tân", Ward!$AA$2:$AB$11, IF(J49="Quận Bình Thạnh", Ward!$AC$2:$AD$21, IF(J49="Huyện Cần Giờ", Ward!$AE$2:$AF$8, IF(J49="Huyện Củ Chi", Ward!$AG$2:$AH$22, IF(J49="Quận Gò Vấp", Ward!$AI$2:$AJ$17, IF(J49="Huyện Hóc Môn", Ward!$AK$2:$AL$13, IF(J49="Huyện Nhà Bè", Ward!$AM$2:$AN$8, IF(J49="Quận Phú Nhuận", Ward!$AO$2:$AP$16, IF(J49="Quận Tân Bình", Ward!$AQ$2:$AR$16, IF(J49="Quận Tân Phú", Ward!$AS$2:$AT$12, IF(J49="Quận Thủ Đức", Ward!$AU$2:$AV$13)))))))))))))))))))))))), 2, FALSE), "")</f>
        <v/>
      </c>
      <c r="Y49" s="20" t="str">
        <f>IF(B49 &lt;&gt; "", VLOOKUP(B49, HospitalType!$A$2:$B$9, 2, FALSE), "")</f>
        <v/>
      </c>
    </row>
    <row r="50" spans="1:25" x14ac:dyDescent="0.25">
      <c r="A50" s="34"/>
      <c r="B50" s="24"/>
      <c r="C50" s="24"/>
      <c r="D50" s="24"/>
      <c r="E50" s="24"/>
      <c r="F50" s="24"/>
      <c r="G50" s="25"/>
      <c r="H50" s="25"/>
      <c r="I50" s="25"/>
      <c r="J50" s="25"/>
      <c r="K50" s="25"/>
      <c r="L50" s="25"/>
      <c r="M50" s="25"/>
      <c r="N50" s="25"/>
      <c r="O50" s="25"/>
      <c r="P50" s="25"/>
      <c r="Q50" s="24"/>
      <c r="R50" s="26"/>
      <c r="S50" s="26"/>
      <c r="T50" s="26"/>
      <c r="U50" s="27"/>
      <c r="V50" s="20" t="str">
        <f>IF(I50 &lt;&gt; "", VLOOKUP(I50, City!$A$1:$B$2, 2, FALSE), "" )</f>
        <v/>
      </c>
      <c r="W50" s="20" t="str">
        <f>IF(J50 &lt;&gt; "", VLOOKUP(J50, District!$A$1:$B$25, 2, FALSE), "")</f>
        <v/>
      </c>
      <c r="X50" s="21" t="str">
        <f>IF(K50 &lt;&gt; "", VLOOKUP(K50, IF(J50="Quận 1", Ward!$A$2:$B$11, IF(J50="Quận 2", Ward!$C$2:$D$12, IF(J50="Quận 3", Ward!$E$2:$F$15, IF(J50="Quận 4", Ward!$G$2:$H$16, IF(J50="Quận 5", Ward!$I$2:$J$16, IF(J50="Quận 6", Ward!$K$2:$L$15, IF(J50="Quận 7", Ward!$M$2:$N$11, IF(J50="Quận 8", Ward!$O$2:$P$17, IF(J50="Quận 9", Ward!$Q$2:$R$14, IF(J50="Quận 10", Ward!$S$2:$T$16, IF(J50="Quận 11", Ward!$U$2:$V$17, IF(J50="Quận 12", Ward!$W$2:$X$12, IF(J50="Huyện Bình Chánh", Ward!$Y$2:$Z$17, IF(J50="Quận Bình Tân", Ward!$AA$2:$AB$11, IF(J50="Quận Bình Thạnh", Ward!$AC$2:$AD$21, IF(J50="Huyện Cần Giờ", Ward!$AE$2:$AF$8, IF(J50="Huyện Củ Chi", Ward!$AG$2:$AH$22, IF(J50="Quận Gò Vấp", Ward!$AI$2:$AJ$17, IF(J50="Huyện Hóc Môn", Ward!$AK$2:$AL$13, IF(J50="Huyện Nhà Bè", Ward!$AM$2:$AN$8, IF(J50="Quận Phú Nhuận", Ward!$AO$2:$AP$16, IF(J50="Quận Tân Bình", Ward!$AQ$2:$AR$16, IF(J50="Quận Tân Phú", Ward!$AS$2:$AT$12, IF(J50="Quận Thủ Đức", Ward!$AU$2:$AV$13)))))))))))))))))))))))), 2, FALSE), "")</f>
        <v/>
      </c>
      <c r="Y50" s="20" t="str">
        <f>IF(B50 &lt;&gt; "", VLOOKUP(B50, HospitalType!$A$2:$B$9, 2, FALSE), "")</f>
        <v/>
      </c>
    </row>
    <row r="51" spans="1:25" x14ac:dyDescent="0.25">
      <c r="A51" s="34"/>
      <c r="B51" s="24"/>
      <c r="C51" s="24"/>
      <c r="D51" s="24"/>
      <c r="E51" s="24"/>
      <c r="F51" s="24"/>
      <c r="G51" s="25"/>
      <c r="H51" s="25"/>
      <c r="I51" s="25"/>
      <c r="J51" s="25"/>
      <c r="K51" s="25"/>
      <c r="L51" s="25"/>
      <c r="M51" s="25"/>
      <c r="N51" s="25"/>
      <c r="O51" s="25"/>
      <c r="P51" s="25"/>
      <c r="Q51" s="24"/>
      <c r="R51" s="26"/>
      <c r="S51" s="26"/>
      <c r="T51" s="26"/>
      <c r="U51" s="27"/>
      <c r="V51" s="20" t="str">
        <f>IF(I51 &lt;&gt; "", VLOOKUP(I51, City!$A$1:$B$2, 2, FALSE), "" )</f>
        <v/>
      </c>
      <c r="W51" s="20" t="str">
        <f>IF(J51 &lt;&gt; "", VLOOKUP(J51, District!$A$1:$B$25, 2, FALSE), "")</f>
        <v/>
      </c>
      <c r="X51" s="21" t="str">
        <f>IF(K51 &lt;&gt; "", VLOOKUP(K51, IF(J51="Quận 1", Ward!$A$2:$B$11, IF(J51="Quận 2", Ward!$C$2:$D$12, IF(J51="Quận 3", Ward!$E$2:$F$15, IF(J51="Quận 4", Ward!$G$2:$H$16, IF(J51="Quận 5", Ward!$I$2:$J$16, IF(J51="Quận 6", Ward!$K$2:$L$15, IF(J51="Quận 7", Ward!$M$2:$N$11, IF(J51="Quận 8", Ward!$O$2:$P$17, IF(J51="Quận 9", Ward!$Q$2:$R$14, IF(J51="Quận 10", Ward!$S$2:$T$16, IF(J51="Quận 11", Ward!$U$2:$V$17, IF(J51="Quận 12", Ward!$W$2:$X$12, IF(J51="Huyện Bình Chánh", Ward!$Y$2:$Z$17, IF(J51="Quận Bình Tân", Ward!$AA$2:$AB$11, IF(J51="Quận Bình Thạnh", Ward!$AC$2:$AD$21, IF(J51="Huyện Cần Giờ", Ward!$AE$2:$AF$8, IF(J51="Huyện Củ Chi", Ward!$AG$2:$AH$22, IF(J51="Quận Gò Vấp", Ward!$AI$2:$AJ$17, IF(J51="Huyện Hóc Môn", Ward!$AK$2:$AL$13, IF(J51="Huyện Nhà Bè", Ward!$AM$2:$AN$8, IF(J51="Quận Phú Nhuận", Ward!$AO$2:$AP$16, IF(J51="Quận Tân Bình", Ward!$AQ$2:$AR$16, IF(J51="Quận Tân Phú", Ward!$AS$2:$AT$12, IF(J51="Quận Thủ Đức", Ward!$AU$2:$AV$13)))))))))))))))))))))))), 2, FALSE), "")</f>
        <v/>
      </c>
      <c r="Y51" s="20" t="str">
        <f>IF(B51 &lt;&gt; "", VLOOKUP(B51, HospitalType!$A$2:$B$9, 2, FALSE), "")</f>
        <v/>
      </c>
    </row>
    <row r="52" spans="1:25" x14ac:dyDescent="0.25">
      <c r="A52" s="34"/>
      <c r="B52" s="24"/>
      <c r="C52" s="24"/>
      <c r="D52" s="24"/>
      <c r="E52" s="24"/>
      <c r="F52" s="24"/>
      <c r="G52" s="25"/>
      <c r="H52" s="25"/>
      <c r="I52" s="25"/>
      <c r="J52" s="25"/>
      <c r="K52" s="25"/>
      <c r="L52" s="25"/>
      <c r="M52" s="25"/>
      <c r="N52" s="25"/>
      <c r="O52" s="25"/>
      <c r="P52" s="25"/>
      <c r="Q52" s="24"/>
      <c r="R52" s="26"/>
      <c r="S52" s="26"/>
      <c r="T52" s="26"/>
      <c r="U52" s="27"/>
      <c r="V52" s="20" t="str">
        <f>IF(I52 &lt;&gt; "", VLOOKUP(I52, City!$A$1:$B$2, 2, FALSE), "" )</f>
        <v/>
      </c>
      <c r="W52" s="20" t="str">
        <f>IF(J52 &lt;&gt; "", VLOOKUP(J52, District!$A$1:$B$25, 2, FALSE), "")</f>
        <v/>
      </c>
      <c r="X52" s="21" t="str">
        <f>IF(K52 &lt;&gt; "", VLOOKUP(K52, IF(J52="Quận 1", Ward!$A$2:$B$11, IF(J52="Quận 2", Ward!$C$2:$D$12, IF(J52="Quận 3", Ward!$E$2:$F$15, IF(J52="Quận 4", Ward!$G$2:$H$16, IF(J52="Quận 5", Ward!$I$2:$J$16, IF(J52="Quận 6", Ward!$K$2:$L$15, IF(J52="Quận 7", Ward!$M$2:$N$11, IF(J52="Quận 8", Ward!$O$2:$P$17, IF(J52="Quận 9", Ward!$Q$2:$R$14, IF(J52="Quận 10", Ward!$S$2:$T$16, IF(J52="Quận 11", Ward!$U$2:$V$17, IF(J52="Quận 12", Ward!$W$2:$X$12, IF(J52="Huyện Bình Chánh", Ward!$Y$2:$Z$17, IF(J52="Quận Bình Tân", Ward!$AA$2:$AB$11, IF(J52="Quận Bình Thạnh", Ward!$AC$2:$AD$21, IF(J52="Huyện Cần Giờ", Ward!$AE$2:$AF$8, IF(J52="Huyện Củ Chi", Ward!$AG$2:$AH$22, IF(J52="Quận Gò Vấp", Ward!$AI$2:$AJ$17, IF(J52="Huyện Hóc Môn", Ward!$AK$2:$AL$13, IF(J52="Huyện Nhà Bè", Ward!$AM$2:$AN$8, IF(J52="Quận Phú Nhuận", Ward!$AO$2:$AP$16, IF(J52="Quận Tân Bình", Ward!$AQ$2:$AR$16, IF(J52="Quận Tân Phú", Ward!$AS$2:$AT$12, IF(J52="Quận Thủ Đức", Ward!$AU$2:$AV$13)))))))))))))))))))))))), 2, FALSE), "")</f>
        <v/>
      </c>
      <c r="Y52" s="20" t="str">
        <f>IF(B52 &lt;&gt; "", VLOOKUP(B52, HospitalType!$A$2:$B$9, 2, FALSE), "")</f>
        <v/>
      </c>
    </row>
    <row r="53" spans="1:25" x14ac:dyDescent="0.25">
      <c r="A53" s="34"/>
      <c r="B53" s="24"/>
      <c r="C53" s="24"/>
      <c r="D53" s="24"/>
      <c r="E53" s="24"/>
      <c r="F53" s="24"/>
      <c r="G53" s="25"/>
      <c r="H53" s="25"/>
      <c r="I53" s="25"/>
      <c r="J53" s="25"/>
      <c r="K53" s="25"/>
      <c r="L53" s="25"/>
      <c r="M53" s="25"/>
      <c r="N53" s="25"/>
      <c r="O53" s="25"/>
      <c r="P53" s="25"/>
      <c r="Q53" s="24"/>
      <c r="R53" s="26"/>
      <c r="S53" s="26"/>
      <c r="T53" s="26"/>
      <c r="U53" s="27"/>
      <c r="V53" s="20" t="str">
        <f>IF(I53 &lt;&gt; "", VLOOKUP(I53, City!$A$1:$B$2, 2, FALSE), "" )</f>
        <v/>
      </c>
      <c r="W53" s="20" t="str">
        <f>IF(J53 &lt;&gt; "", VLOOKUP(J53, District!$A$1:$B$25, 2, FALSE), "")</f>
        <v/>
      </c>
      <c r="X53" s="21" t="str">
        <f>IF(K53 &lt;&gt; "", VLOOKUP(K53, IF(J53="Quận 1", Ward!$A$2:$B$11, IF(J53="Quận 2", Ward!$C$2:$D$12, IF(J53="Quận 3", Ward!$E$2:$F$15, IF(J53="Quận 4", Ward!$G$2:$H$16, IF(J53="Quận 5", Ward!$I$2:$J$16, IF(J53="Quận 6", Ward!$K$2:$L$15, IF(J53="Quận 7", Ward!$M$2:$N$11, IF(J53="Quận 8", Ward!$O$2:$P$17, IF(J53="Quận 9", Ward!$Q$2:$R$14, IF(J53="Quận 10", Ward!$S$2:$T$16, IF(J53="Quận 11", Ward!$U$2:$V$17, IF(J53="Quận 12", Ward!$W$2:$X$12, IF(J53="Huyện Bình Chánh", Ward!$Y$2:$Z$17, IF(J53="Quận Bình Tân", Ward!$AA$2:$AB$11, IF(J53="Quận Bình Thạnh", Ward!$AC$2:$AD$21, IF(J53="Huyện Cần Giờ", Ward!$AE$2:$AF$8, IF(J53="Huyện Củ Chi", Ward!$AG$2:$AH$22, IF(J53="Quận Gò Vấp", Ward!$AI$2:$AJ$17, IF(J53="Huyện Hóc Môn", Ward!$AK$2:$AL$13, IF(J53="Huyện Nhà Bè", Ward!$AM$2:$AN$8, IF(J53="Quận Phú Nhuận", Ward!$AO$2:$AP$16, IF(J53="Quận Tân Bình", Ward!$AQ$2:$AR$16, IF(J53="Quận Tân Phú", Ward!$AS$2:$AT$12, IF(J53="Quận Thủ Đức", Ward!$AU$2:$AV$13)))))))))))))))))))))))), 2, FALSE), "")</f>
        <v/>
      </c>
      <c r="Y53" s="20" t="str">
        <f>IF(B53 &lt;&gt; "", VLOOKUP(B53, HospitalType!$A$2:$B$9, 2, FALSE), "")</f>
        <v/>
      </c>
    </row>
    <row r="54" spans="1:25" x14ac:dyDescent="0.25">
      <c r="A54" s="34"/>
      <c r="B54" s="24"/>
      <c r="C54" s="24"/>
      <c r="D54" s="24"/>
      <c r="E54" s="24"/>
      <c r="F54" s="24"/>
      <c r="G54" s="25"/>
      <c r="H54" s="25"/>
      <c r="I54" s="25"/>
      <c r="J54" s="25"/>
      <c r="K54" s="25"/>
      <c r="L54" s="25"/>
      <c r="M54" s="25"/>
      <c r="N54" s="25"/>
      <c r="O54" s="25"/>
      <c r="P54" s="25"/>
      <c r="Q54" s="24"/>
      <c r="R54" s="26"/>
      <c r="S54" s="26"/>
      <c r="T54" s="26"/>
      <c r="U54" s="27"/>
      <c r="V54" s="20" t="str">
        <f>IF(I54 &lt;&gt; "", VLOOKUP(I54, City!$A$1:$B$2, 2, FALSE), "" )</f>
        <v/>
      </c>
      <c r="W54" s="20" t="str">
        <f>IF(J54 &lt;&gt; "", VLOOKUP(J54, District!$A$1:$B$25, 2, FALSE), "")</f>
        <v/>
      </c>
      <c r="X54" s="21" t="str">
        <f>IF(K54 &lt;&gt; "", VLOOKUP(K54, IF(J54="Quận 1", Ward!$A$2:$B$11, IF(J54="Quận 2", Ward!$C$2:$D$12, IF(J54="Quận 3", Ward!$E$2:$F$15, IF(J54="Quận 4", Ward!$G$2:$H$16, IF(J54="Quận 5", Ward!$I$2:$J$16, IF(J54="Quận 6", Ward!$K$2:$L$15, IF(J54="Quận 7", Ward!$M$2:$N$11, IF(J54="Quận 8", Ward!$O$2:$P$17, IF(J54="Quận 9", Ward!$Q$2:$R$14, IF(J54="Quận 10", Ward!$S$2:$T$16, IF(J54="Quận 11", Ward!$U$2:$V$17, IF(J54="Quận 12", Ward!$W$2:$X$12, IF(J54="Huyện Bình Chánh", Ward!$Y$2:$Z$17, IF(J54="Quận Bình Tân", Ward!$AA$2:$AB$11, IF(J54="Quận Bình Thạnh", Ward!$AC$2:$AD$21, IF(J54="Huyện Cần Giờ", Ward!$AE$2:$AF$8, IF(J54="Huyện Củ Chi", Ward!$AG$2:$AH$22, IF(J54="Quận Gò Vấp", Ward!$AI$2:$AJ$17, IF(J54="Huyện Hóc Môn", Ward!$AK$2:$AL$13, IF(J54="Huyện Nhà Bè", Ward!$AM$2:$AN$8, IF(J54="Quận Phú Nhuận", Ward!$AO$2:$AP$16, IF(J54="Quận Tân Bình", Ward!$AQ$2:$AR$16, IF(J54="Quận Tân Phú", Ward!$AS$2:$AT$12, IF(J54="Quận Thủ Đức", Ward!$AU$2:$AV$13)))))))))))))))))))))))), 2, FALSE), "")</f>
        <v/>
      </c>
      <c r="Y54" s="20" t="str">
        <f>IF(B54 &lt;&gt; "", VLOOKUP(B54, HospitalType!$A$2:$B$9, 2, FALSE), "")</f>
        <v/>
      </c>
    </row>
    <row r="55" spans="1:25" x14ac:dyDescent="0.25">
      <c r="A55" s="34"/>
      <c r="B55" s="24"/>
      <c r="C55" s="24"/>
      <c r="D55" s="24"/>
      <c r="E55" s="24"/>
      <c r="F55" s="24"/>
      <c r="G55" s="25"/>
      <c r="H55" s="25"/>
      <c r="I55" s="25"/>
      <c r="J55" s="25"/>
      <c r="K55" s="25"/>
      <c r="L55" s="25"/>
      <c r="M55" s="25"/>
      <c r="N55" s="25"/>
      <c r="O55" s="25"/>
      <c r="P55" s="25"/>
      <c r="Q55" s="24"/>
      <c r="R55" s="26"/>
      <c r="S55" s="26"/>
      <c r="T55" s="26"/>
      <c r="U55" s="27"/>
      <c r="V55" s="20" t="str">
        <f>IF(I55 &lt;&gt; "", VLOOKUP(I55, City!$A$1:$B$2, 2, FALSE), "" )</f>
        <v/>
      </c>
      <c r="W55" s="20" t="str">
        <f>IF(J55 &lt;&gt; "", VLOOKUP(J55, District!$A$1:$B$25, 2, FALSE), "")</f>
        <v/>
      </c>
      <c r="X55" s="21" t="str">
        <f>IF(K55 &lt;&gt; "", VLOOKUP(K55, IF(J55="Quận 1", Ward!$A$2:$B$11, IF(J55="Quận 2", Ward!$C$2:$D$12, IF(J55="Quận 3", Ward!$E$2:$F$15, IF(J55="Quận 4", Ward!$G$2:$H$16, IF(J55="Quận 5", Ward!$I$2:$J$16, IF(J55="Quận 6", Ward!$K$2:$L$15, IF(J55="Quận 7", Ward!$M$2:$N$11, IF(J55="Quận 8", Ward!$O$2:$P$17, IF(J55="Quận 9", Ward!$Q$2:$R$14, IF(J55="Quận 10", Ward!$S$2:$T$16, IF(J55="Quận 11", Ward!$U$2:$V$17, IF(J55="Quận 12", Ward!$W$2:$X$12, IF(J55="Huyện Bình Chánh", Ward!$Y$2:$Z$17, IF(J55="Quận Bình Tân", Ward!$AA$2:$AB$11, IF(J55="Quận Bình Thạnh", Ward!$AC$2:$AD$21, IF(J55="Huyện Cần Giờ", Ward!$AE$2:$AF$8, IF(J55="Huyện Củ Chi", Ward!$AG$2:$AH$22, IF(J55="Quận Gò Vấp", Ward!$AI$2:$AJ$17, IF(J55="Huyện Hóc Môn", Ward!$AK$2:$AL$13, IF(J55="Huyện Nhà Bè", Ward!$AM$2:$AN$8, IF(J55="Quận Phú Nhuận", Ward!$AO$2:$AP$16, IF(J55="Quận Tân Bình", Ward!$AQ$2:$AR$16, IF(J55="Quận Tân Phú", Ward!$AS$2:$AT$12, IF(J55="Quận Thủ Đức", Ward!$AU$2:$AV$13)))))))))))))))))))))))), 2, FALSE), "")</f>
        <v/>
      </c>
      <c r="Y55" s="20" t="str">
        <f>IF(B55 &lt;&gt; "", VLOOKUP(B55, HospitalType!$A$2:$B$9, 2, FALSE), "")</f>
        <v/>
      </c>
    </row>
    <row r="56" spans="1:25" x14ac:dyDescent="0.25">
      <c r="A56" s="34"/>
      <c r="B56" s="24"/>
      <c r="C56" s="24"/>
      <c r="D56" s="24"/>
      <c r="E56" s="24"/>
      <c r="F56" s="24"/>
      <c r="G56" s="25"/>
      <c r="H56" s="25"/>
      <c r="I56" s="25"/>
      <c r="J56" s="25"/>
      <c r="K56" s="25"/>
      <c r="L56" s="25"/>
      <c r="M56" s="25"/>
      <c r="N56" s="25"/>
      <c r="O56" s="25"/>
      <c r="P56" s="25"/>
      <c r="Q56" s="24"/>
      <c r="R56" s="26"/>
      <c r="S56" s="26"/>
      <c r="T56" s="26"/>
      <c r="U56" s="27"/>
      <c r="V56" s="20" t="str">
        <f>IF(I56 &lt;&gt; "", VLOOKUP(I56, City!$A$1:$B$2, 2, FALSE), "" )</f>
        <v/>
      </c>
      <c r="W56" s="20" t="str">
        <f>IF(J56 &lt;&gt; "", VLOOKUP(J56, District!$A$1:$B$25, 2, FALSE), "")</f>
        <v/>
      </c>
      <c r="X56" s="21" t="str">
        <f>IF(K56 &lt;&gt; "", VLOOKUP(K56, IF(J56="Quận 1", Ward!$A$2:$B$11, IF(J56="Quận 2", Ward!$C$2:$D$12, IF(J56="Quận 3", Ward!$E$2:$F$15, IF(J56="Quận 4", Ward!$G$2:$H$16, IF(J56="Quận 5", Ward!$I$2:$J$16, IF(J56="Quận 6", Ward!$K$2:$L$15, IF(J56="Quận 7", Ward!$M$2:$N$11, IF(J56="Quận 8", Ward!$O$2:$P$17, IF(J56="Quận 9", Ward!$Q$2:$R$14, IF(J56="Quận 10", Ward!$S$2:$T$16, IF(J56="Quận 11", Ward!$U$2:$V$17, IF(J56="Quận 12", Ward!$W$2:$X$12, IF(J56="Huyện Bình Chánh", Ward!$Y$2:$Z$17, IF(J56="Quận Bình Tân", Ward!$AA$2:$AB$11, IF(J56="Quận Bình Thạnh", Ward!$AC$2:$AD$21, IF(J56="Huyện Cần Giờ", Ward!$AE$2:$AF$8, IF(J56="Huyện Củ Chi", Ward!$AG$2:$AH$22, IF(J56="Quận Gò Vấp", Ward!$AI$2:$AJ$17, IF(J56="Huyện Hóc Môn", Ward!$AK$2:$AL$13, IF(J56="Huyện Nhà Bè", Ward!$AM$2:$AN$8, IF(J56="Quận Phú Nhuận", Ward!$AO$2:$AP$16, IF(J56="Quận Tân Bình", Ward!$AQ$2:$AR$16, IF(J56="Quận Tân Phú", Ward!$AS$2:$AT$12, IF(J56="Quận Thủ Đức", Ward!$AU$2:$AV$13)))))))))))))))))))))))), 2, FALSE), "")</f>
        <v/>
      </c>
      <c r="Y56" s="20" t="str">
        <f>IF(B56 &lt;&gt; "", VLOOKUP(B56, HospitalType!$A$2:$B$9, 2, FALSE), "")</f>
        <v/>
      </c>
    </row>
    <row r="57" spans="1:25" x14ac:dyDescent="0.25">
      <c r="A57" s="34"/>
      <c r="B57" s="24"/>
      <c r="C57" s="24"/>
      <c r="D57" s="24"/>
      <c r="E57" s="24"/>
      <c r="F57" s="24"/>
      <c r="G57" s="25"/>
      <c r="H57" s="25"/>
      <c r="I57" s="25"/>
      <c r="J57" s="25"/>
      <c r="K57" s="25"/>
      <c r="L57" s="25"/>
      <c r="M57" s="25"/>
      <c r="N57" s="25"/>
      <c r="O57" s="25"/>
      <c r="P57" s="25"/>
      <c r="Q57" s="24"/>
      <c r="R57" s="26"/>
      <c r="S57" s="26"/>
      <c r="T57" s="26"/>
      <c r="U57" s="27"/>
      <c r="V57" s="20" t="str">
        <f>IF(I57 &lt;&gt; "", VLOOKUP(I57, City!$A$1:$B$2, 2, FALSE), "" )</f>
        <v/>
      </c>
      <c r="W57" s="20" t="str">
        <f>IF(J57 &lt;&gt; "", VLOOKUP(J57, District!$A$1:$B$25, 2, FALSE), "")</f>
        <v/>
      </c>
      <c r="X57" s="21" t="str">
        <f>IF(K57 &lt;&gt; "", VLOOKUP(K57, IF(J57="Quận 1", Ward!$A$2:$B$11, IF(J57="Quận 2", Ward!$C$2:$D$12, IF(J57="Quận 3", Ward!$E$2:$F$15, IF(J57="Quận 4", Ward!$G$2:$H$16, IF(J57="Quận 5", Ward!$I$2:$J$16, IF(J57="Quận 6", Ward!$K$2:$L$15, IF(J57="Quận 7", Ward!$M$2:$N$11, IF(J57="Quận 8", Ward!$O$2:$P$17, IF(J57="Quận 9", Ward!$Q$2:$R$14, IF(J57="Quận 10", Ward!$S$2:$T$16, IF(J57="Quận 11", Ward!$U$2:$V$17, IF(J57="Quận 12", Ward!$W$2:$X$12, IF(J57="Huyện Bình Chánh", Ward!$Y$2:$Z$17, IF(J57="Quận Bình Tân", Ward!$AA$2:$AB$11, IF(J57="Quận Bình Thạnh", Ward!$AC$2:$AD$21, IF(J57="Huyện Cần Giờ", Ward!$AE$2:$AF$8, IF(J57="Huyện Củ Chi", Ward!$AG$2:$AH$22, IF(J57="Quận Gò Vấp", Ward!$AI$2:$AJ$17, IF(J57="Huyện Hóc Môn", Ward!$AK$2:$AL$13, IF(J57="Huyện Nhà Bè", Ward!$AM$2:$AN$8, IF(J57="Quận Phú Nhuận", Ward!$AO$2:$AP$16, IF(J57="Quận Tân Bình", Ward!$AQ$2:$AR$16, IF(J57="Quận Tân Phú", Ward!$AS$2:$AT$12, IF(J57="Quận Thủ Đức", Ward!$AU$2:$AV$13)))))))))))))))))))))))), 2, FALSE), "")</f>
        <v/>
      </c>
      <c r="Y57" s="20" t="str">
        <f>IF(B57 &lt;&gt; "", VLOOKUP(B57, HospitalType!$A$2:$B$9, 2, FALSE), "")</f>
        <v/>
      </c>
    </row>
    <row r="58" spans="1:25" x14ac:dyDescent="0.25">
      <c r="A58" s="34"/>
      <c r="B58" s="24"/>
      <c r="C58" s="24"/>
      <c r="D58" s="24"/>
      <c r="E58" s="24"/>
      <c r="F58" s="24"/>
      <c r="G58" s="25"/>
      <c r="H58" s="25"/>
      <c r="I58" s="25"/>
      <c r="J58" s="25"/>
      <c r="K58" s="25"/>
      <c r="L58" s="25"/>
      <c r="M58" s="25"/>
      <c r="N58" s="25"/>
      <c r="O58" s="25"/>
      <c r="P58" s="25"/>
      <c r="Q58" s="24"/>
      <c r="R58" s="26"/>
      <c r="S58" s="26"/>
      <c r="T58" s="26"/>
      <c r="U58" s="27"/>
      <c r="V58" s="20" t="str">
        <f>IF(I58 &lt;&gt; "", VLOOKUP(I58, City!$A$1:$B$2, 2, FALSE), "" )</f>
        <v/>
      </c>
      <c r="W58" s="20" t="str">
        <f>IF(J58 &lt;&gt; "", VLOOKUP(J58, District!$A$1:$B$25, 2, FALSE), "")</f>
        <v/>
      </c>
      <c r="X58" s="21" t="str">
        <f>IF(K58 &lt;&gt; "", VLOOKUP(K58, IF(J58="Quận 1", Ward!$A$2:$B$11, IF(J58="Quận 2", Ward!$C$2:$D$12, IF(J58="Quận 3", Ward!$E$2:$F$15, IF(J58="Quận 4", Ward!$G$2:$H$16, IF(J58="Quận 5", Ward!$I$2:$J$16, IF(J58="Quận 6", Ward!$K$2:$L$15, IF(J58="Quận 7", Ward!$M$2:$N$11, IF(J58="Quận 8", Ward!$O$2:$P$17, IF(J58="Quận 9", Ward!$Q$2:$R$14, IF(J58="Quận 10", Ward!$S$2:$T$16, IF(J58="Quận 11", Ward!$U$2:$V$17, IF(J58="Quận 12", Ward!$W$2:$X$12, IF(J58="Huyện Bình Chánh", Ward!$Y$2:$Z$17, IF(J58="Quận Bình Tân", Ward!$AA$2:$AB$11, IF(J58="Quận Bình Thạnh", Ward!$AC$2:$AD$21, IF(J58="Huyện Cần Giờ", Ward!$AE$2:$AF$8, IF(J58="Huyện Củ Chi", Ward!$AG$2:$AH$22, IF(J58="Quận Gò Vấp", Ward!$AI$2:$AJ$17, IF(J58="Huyện Hóc Môn", Ward!$AK$2:$AL$13, IF(J58="Huyện Nhà Bè", Ward!$AM$2:$AN$8, IF(J58="Quận Phú Nhuận", Ward!$AO$2:$AP$16, IF(J58="Quận Tân Bình", Ward!$AQ$2:$AR$16, IF(J58="Quận Tân Phú", Ward!$AS$2:$AT$12, IF(J58="Quận Thủ Đức", Ward!$AU$2:$AV$13)))))))))))))))))))))))), 2, FALSE), "")</f>
        <v/>
      </c>
      <c r="Y58" s="20" t="str">
        <f>IF(B58 &lt;&gt; "", VLOOKUP(B58, HospitalType!$A$2:$B$9, 2, FALSE), "")</f>
        <v/>
      </c>
    </row>
    <row r="59" spans="1:25" x14ac:dyDescent="0.25">
      <c r="A59" s="34"/>
      <c r="B59" s="24"/>
      <c r="C59" s="24"/>
      <c r="D59" s="24"/>
      <c r="E59" s="24"/>
      <c r="F59" s="24"/>
      <c r="G59" s="25"/>
      <c r="H59" s="25"/>
      <c r="I59" s="25"/>
      <c r="J59" s="25"/>
      <c r="K59" s="25"/>
      <c r="L59" s="25"/>
      <c r="M59" s="25"/>
      <c r="N59" s="25"/>
      <c r="O59" s="25"/>
      <c r="P59" s="25"/>
      <c r="Q59" s="24"/>
      <c r="R59" s="26"/>
      <c r="S59" s="26"/>
      <c r="T59" s="26"/>
      <c r="U59" s="27"/>
      <c r="V59" s="20" t="str">
        <f>IF(I59 &lt;&gt; "", VLOOKUP(I59, City!$A$1:$B$2, 2, FALSE), "" )</f>
        <v/>
      </c>
      <c r="W59" s="20" t="str">
        <f>IF(J59 &lt;&gt; "", VLOOKUP(J59, District!$A$1:$B$25, 2, FALSE), "")</f>
        <v/>
      </c>
      <c r="X59" s="21" t="str">
        <f>IF(K59 &lt;&gt; "", VLOOKUP(K59, IF(J59="Quận 1", Ward!$A$2:$B$11, IF(J59="Quận 2", Ward!$C$2:$D$12, IF(J59="Quận 3", Ward!$E$2:$F$15, IF(J59="Quận 4", Ward!$G$2:$H$16, IF(J59="Quận 5", Ward!$I$2:$J$16, IF(J59="Quận 6", Ward!$K$2:$L$15, IF(J59="Quận 7", Ward!$M$2:$N$11, IF(J59="Quận 8", Ward!$O$2:$P$17, IF(J59="Quận 9", Ward!$Q$2:$R$14, IF(J59="Quận 10", Ward!$S$2:$T$16, IF(J59="Quận 11", Ward!$U$2:$V$17, IF(J59="Quận 12", Ward!$W$2:$X$12, IF(J59="Huyện Bình Chánh", Ward!$Y$2:$Z$17, IF(J59="Quận Bình Tân", Ward!$AA$2:$AB$11, IF(J59="Quận Bình Thạnh", Ward!$AC$2:$AD$21, IF(J59="Huyện Cần Giờ", Ward!$AE$2:$AF$8, IF(J59="Huyện Củ Chi", Ward!$AG$2:$AH$22, IF(J59="Quận Gò Vấp", Ward!$AI$2:$AJ$17, IF(J59="Huyện Hóc Môn", Ward!$AK$2:$AL$13, IF(J59="Huyện Nhà Bè", Ward!$AM$2:$AN$8, IF(J59="Quận Phú Nhuận", Ward!$AO$2:$AP$16, IF(J59="Quận Tân Bình", Ward!$AQ$2:$AR$16, IF(J59="Quận Tân Phú", Ward!$AS$2:$AT$12, IF(J59="Quận Thủ Đức", Ward!$AU$2:$AV$13)))))))))))))))))))))))), 2, FALSE), "")</f>
        <v/>
      </c>
      <c r="Y59" s="20" t="str">
        <f>IF(B59 &lt;&gt; "", VLOOKUP(B59, HospitalType!$A$2:$B$9, 2, FALSE), "")</f>
        <v/>
      </c>
    </row>
    <row r="60" spans="1:25" x14ac:dyDescent="0.25">
      <c r="A60" s="34"/>
      <c r="B60" s="24"/>
      <c r="C60" s="24"/>
      <c r="D60" s="24"/>
      <c r="E60" s="24"/>
      <c r="F60" s="24"/>
      <c r="G60" s="25"/>
      <c r="H60" s="25"/>
      <c r="I60" s="25"/>
      <c r="J60" s="25"/>
      <c r="K60" s="25"/>
      <c r="L60" s="25"/>
      <c r="M60" s="25"/>
      <c r="N60" s="25"/>
      <c r="O60" s="25"/>
      <c r="P60" s="25"/>
      <c r="Q60" s="24"/>
      <c r="R60" s="26"/>
      <c r="S60" s="26"/>
      <c r="T60" s="26"/>
      <c r="U60" s="27"/>
      <c r="V60" s="20" t="str">
        <f>IF(I60 &lt;&gt; "", VLOOKUP(I60, City!$A$1:$B$2, 2, FALSE), "" )</f>
        <v/>
      </c>
      <c r="W60" s="20" t="str">
        <f>IF(J60 &lt;&gt; "", VLOOKUP(J60, District!$A$1:$B$25, 2, FALSE), "")</f>
        <v/>
      </c>
      <c r="X60" s="21" t="str">
        <f>IF(K60 &lt;&gt; "", VLOOKUP(K60, IF(J60="Quận 1", Ward!$A$2:$B$11, IF(J60="Quận 2", Ward!$C$2:$D$12, IF(J60="Quận 3", Ward!$E$2:$F$15, IF(J60="Quận 4", Ward!$G$2:$H$16, IF(J60="Quận 5", Ward!$I$2:$J$16, IF(J60="Quận 6", Ward!$K$2:$L$15, IF(J60="Quận 7", Ward!$M$2:$N$11, IF(J60="Quận 8", Ward!$O$2:$P$17, IF(J60="Quận 9", Ward!$Q$2:$R$14, IF(J60="Quận 10", Ward!$S$2:$T$16, IF(J60="Quận 11", Ward!$U$2:$V$17, IF(J60="Quận 12", Ward!$W$2:$X$12, IF(J60="Huyện Bình Chánh", Ward!$Y$2:$Z$17, IF(J60="Quận Bình Tân", Ward!$AA$2:$AB$11, IF(J60="Quận Bình Thạnh", Ward!$AC$2:$AD$21, IF(J60="Huyện Cần Giờ", Ward!$AE$2:$AF$8, IF(J60="Huyện Củ Chi", Ward!$AG$2:$AH$22, IF(J60="Quận Gò Vấp", Ward!$AI$2:$AJ$17, IF(J60="Huyện Hóc Môn", Ward!$AK$2:$AL$13, IF(J60="Huyện Nhà Bè", Ward!$AM$2:$AN$8, IF(J60="Quận Phú Nhuận", Ward!$AO$2:$AP$16, IF(J60="Quận Tân Bình", Ward!$AQ$2:$AR$16, IF(J60="Quận Tân Phú", Ward!$AS$2:$AT$12, IF(J60="Quận Thủ Đức", Ward!$AU$2:$AV$13)))))))))))))))))))))))), 2, FALSE), "")</f>
        <v/>
      </c>
      <c r="Y60" s="20" t="str">
        <f>IF(B60 &lt;&gt; "", VLOOKUP(B60, HospitalType!$A$2:$B$9, 2, FALSE), "")</f>
        <v/>
      </c>
    </row>
    <row r="61" spans="1:25" x14ac:dyDescent="0.25">
      <c r="A61" s="34"/>
      <c r="B61" s="24"/>
      <c r="C61" s="24"/>
      <c r="D61" s="24"/>
      <c r="E61" s="24"/>
      <c r="F61" s="24"/>
      <c r="G61" s="25"/>
      <c r="H61" s="25"/>
      <c r="I61" s="25"/>
      <c r="J61" s="25"/>
      <c r="K61" s="25"/>
      <c r="L61" s="25"/>
      <c r="M61" s="25"/>
      <c r="N61" s="25"/>
      <c r="O61" s="25"/>
      <c r="P61" s="25"/>
      <c r="Q61" s="24"/>
      <c r="R61" s="26"/>
      <c r="S61" s="26"/>
      <c r="T61" s="26"/>
      <c r="U61" s="27"/>
      <c r="V61" s="20" t="str">
        <f>IF(I61 &lt;&gt; "", VLOOKUP(I61, City!$A$1:$B$2, 2, FALSE), "" )</f>
        <v/>
      </c>
      <c r="W61" s="20" t="str">
        <f>IF(J61 &lt;&gt; "", VLOOKUP(J61, District!$A$1:$B$25, 2, FALSE), "")</f>
        <v/>
      </c>
      <c r="X61" s="21" t="str">
        <f>IF(K61 &lt;&gt; "", VLOOKUP(K61, IF(J61="Quận 1", Ward!$A$2:$B$11, IF(J61="Quận 2", Ward!$C$2:$D$12, IF(J61="Quận 3", Ward!$E$2:$F$15, IF(J61="Quận 4", Ward!$G$2:$H$16, IF(J61="Quận 5", Ward!$I$2:$J$16, IF(J61="Quận 6", Ward!$K$2:$L$15, IF(J61="Quận 7", Ward!$M$2:$N$11, IF(J61="Quận 8", Ward!$O$2:$P$17, IF(J61="Quận 9", Ward!$Q$2:$R$14, IF(J61="Quận 10", Ward!$S$2:$T$16, IF(J61="Quận 11", Ward!$U$2:$V$17, IF(J61="Quận 12", Ward!$W$2:$X$12, IF(J61="Huyện Bình Chánh", Ward!$Y$2:$Z$17, IF(J61="Quận Bình Tân", Ward!$AA$2:$AB$11, IF(J61="Quận Bình Thạnh", Ward!$AC$2:$AD$21, IF(J61="Huyện Cần Giờ", Ward!$AE$2:$AF$8, IF(J61="Huyện Củ Chi", Ward!$AG$2:$AH$22, IF(J61="Quận Gò Vấp", Ward!$AI$2:$AJ$17, IF(J61="Huyện Hóc Môn", Ward!$AK$2:$AL$13, IF(J61="Huyện Nhà Bè", Ward!$AM$2:$AN$8, IF(J61="Quận Phú Nhuận", Ward!$AO$2:$AP$16, IF(J61="Quận Tân Bình", Ward!$AQ$2:$AR$16, IF(J61="Quận Tân Phú", Ward!$AS$2:$AT$12, IF(J61="Quận Thủ Đức", Ward!$AU$2:$AV$13)))))))))))))))))))))))), 2, FALSE), "")</f>
        <v/>
      </c>
      <c r="Y61" s="20" t="str">
        <f>IF(B61 &lt;&gt; "", VLOOKUP(B61, HospitalType!$A$2:$B$9, 2, FALSE), "")</f>
        <v/>
      </c>
    </row>
    <row r="62" spans="1:25" x14ac:dyDescent="0.25">
      <c r="A62" s="34"/>
      <c r="B62" s="24"/>
      <c r="C62" s="24"/>
      <c r="D62" s="24"/>
      <c r="E62" s="24"/>
      <c r="F62" s="24"/>
      <c r="G62" s="25"/>
      <c r="H62" s="25"/>
      <c r="I62" s="25"/>
      <c r="J62" s="25"/>
      <c r="K62" s="25"/>
      <c r="L62" s="25"/>
      <c r="M62" s="25"/>
      <c r="N62" s="25"/>
      <c r="O62" s="25"/>
      <c r="P62" s="25"/>
      <c r="Q62" s="24"/>
      <c r="R62" s="26"/>
      <c r="S62" s="26"/>
      <c r="T62" s="26"/>
      <c r="U62" s="27"/>
      <c r="V62" s="20" t="str">
        <f>IF(I62 &lt;&gt; "", VLOOKUP(I62, City!$A$1:$B$2, 2, FALSE), "" )</f>
        <v/>
      </c>
      <c r="W62" s="20" t="str">
        <f>IF(J62 &lt;&gt; "", VLOOKUP(J62, District!$A$1:$B$25, 2, FALSE), "")</f>
        <v/>
      </c>
      <c r="X62" s="21" t="str">
        <f>IF(K62 &lt;&gt; "", VLOOKUP(K62, IF(J62="Quận 1", Ward!$A$2:$B$11, IF(J62="Quận 2", Ward!$C$2:$D$12, IF(J62="Quận 3", Ward!$E$2:$F$15, IF(J62="Quận 4", Ward!$G$2:$H$16, IF(J62="Quận 5", Ward!$I$2:$J$16, IF(J62="Quận 6", Ward!$K$2:$L$15, IF(J62="Quận 7", Ward!$M$2:$N$11, IF(J62="Quận 8", Ward!$O$2:$P$17, IF(J62="Quận 9", Ward!$Q$2:$R$14, IF(J62="Quận 10", Ward!$S$2:$T$16, IF(J62="Quận 11", Ward!$U$2:$V$17, IF(J62="Quận 12", Ward!$W$2:$X$12, IF(J62="Huyện Bình Chánh", Ward!$Y$2:$Z$17, IF(J62="Quận Bình Tân", Ward!$AA$2:$AB$11, IF(J62="Quận Bình Thạnh", Ward!$AC$2:$AD$21, IF(J62="Huyện Cần Giờ", Ward!$AE$2:$AF$8, IF(J62="Huyện Củ Chi", Ward!$AG$2:$AH$22, IF(J62="Quận Gò Vấp", Ward!$AI$2:$AJ$17, IF(J62="Huyện Hóc Môn", Ward!$AK$2:$AL$13, IF(J62="Huyện Nhà Bè", Ward!$AM$2:$AN$8, IF(J62="Quận Phú Nhuận", Ward!$AO$2:$AP$16, IF(J62="Quận Tân Bình", Ward!$AQ$2:$AR$16, IF(J62="Quận Tân Phú", Ward!$AS$2:$AT$12, IF(J62="Quận Thủ Đức", Ward!$AU$2:$AV$13)))))))))))))))))))))))), 2, FALSE), "")</f>
        <v/>
      </c>
      <c r="Y62" s="20" t="str">
        <f>IF(B62 &lt;&gt; "", VLOOKUP(B62, HospitalType!$A$2:$B$9, 2, FALSE), "")</f>
        <v/>
      </c>
    </row>
    <row r="63" spans="1:25" x14ac:dyDescent="0.25">
      <c r="A63" s="34"/>
      <c r="B63" s="24"/>
      <c r="C63" s="24"/>
      <c r="D63" s="24"/>
      <c r="E63" s="24"/>
      <c r="F63" s="24"/>
      <c r="G63" s="25"/>
      <c r="H63" s="25"/>
      <c r="I63" s="25"/>
      <c r="J63" s="25"/>
      <c r="K63" s="25"/>
      <c r="L63" s="25"/>
      <c r="M63" s="25"/>
      <c r="N63" s="25"/>
      <c r="O63" s="25"/>
      <c r="P63" s="25"/>
      <c r="Q63" s="24"/>
      <c r="R63" s="26"/>
      <c r="S63" s="26"/>
      <c r="T63" s="26"/>
      <c r="U63" s="27"/>
      <c r="V63" s="20" t="str">
        <f>IF(I63 &lt;&gt; "", VLOOKUP(I63, City!$A$1:$B$2, 2, FALSE), "" )</f>
        <v/>
      </c>
      <c r="W63" s="20" t="str">
        <f>IF(J63 &lt;&gt; "", VLOOKUP(J63, District!$A$1:$B$25, 2, FALSE), "")</f>
        <v/>
      </c>
      <c r="X63" s="21" t="str">
        <f>IF(K63 &lt;&gt; "", VLOOKUP(K63, IF(J63="Quận 1", Ward!$A$2:$B$11, IF(J63="Quận 2", Ward!$C$2:$D$12, IF(J63="Quận 3", Ward!$E$2:$F$15, IF(J63="Quận 4", Ward!$G$2:$H$16, IF(J63="Quận 5", Ward!$I$2:$J$16, IF(J63="Quận 6", Ward!$K$2:$L$15, IF(J63="Quận 7", Ward!$M$2:$N$11, IF(J63="Quận 8", Ward!$O$2:$P$17, IF(J63="Quận 9", Ward!$Q$2:$R$14, IF(J63="Quận 10", Ward!$S$2:$T$16, IF(J63="Quận 11", Ward!$U$2:$V$17, IF(J63="Quận 12", Ward!$W$2:$X$12, IF(J63="Huyện Bình Chánh", Ward!$Y$2:$Z$17, IF(J63="Quận Bình Tân", Ward!$AA$2:$AB$11, IF(J63="Quận Bình Thạnh", Ward!$AC$2:$AD$21, IF(J63="Huyện Cần Giờ", Ward!$AE$2:$AF$8, IF(J63="Huyện Củ Chi", Ward!$AG$2:$AH$22, IF(J63="Quận Gò Vấp", Ward!$AI$2:$AJ$17, IF(J63="Huyện Hóc Môn", Ward!$AK$2:$AL$13, IF(J63="Huyện Nhà Bè", Ward!$AM$2:$AN$8, IF(J63="Quận Phú Nhuận", Ward!$AO$2:$AP$16, IF(J63="Quận Tân Bình", Ward!$AQ$2:$AR$16, IF(J63="Quận Tân Phú", Ward!$AS$2:$AT$12, IF(J63="Quận Thủ Đức", Ward!$AU$2:$AV$13)))))))))))))))))))))))), 2, FALSE), "")</f>
        <v/>
      </c>
      <c r="Y63" s="20" t="str">
        <f>IF(B63 &lt;&gt; "", VLOOKUP(B63, HospitalType!$A$2:$B$9, 2, FALSE), "")</f>
        <v/>
      </c>
    </row>
    <row r="64" spans="1:25" x14ac:dyDescent="0.25">
      <c r="A64" s="34"/>
      <c r="B64" s="24"/>
      <c r="C64" s="24"/>
      <c r="D64" s="24"/>
      <c r="E64" s="24"/>
      <c r="F64" s="24"/>
      <c r="G64" s="25"/>
      <c r="H64" s="25"/>
      <c r="I64" s="25"/>
      <c r="J64" s="25"/>
      <c r="K64" s="25"/>
      <c r="L64" s="25"/>
      <c r="M64" s="25"/>
      <c r="N64" s="25"/>
      <c r="O64" s="25"/>
      <c r="P64" s="25"/>
      <c r="Q64" s="24"/>
      <c r="R64" s="26"/>
      <c r="S64" s="26"/>
      <c r="T64" s="26"/>
      <c r="U64" s="27"/>
      <c r="V64" s="20" t="str">
        <f>IF(I64 &lt;&gt; "", VLOOKUP(I64, City!$A$1:$B$2, 2, FALSE), "" )</f>
        <v/>
      </c>
      <c r="W64" s="20" t="str">
        <f>IF(J64 &lt;&gt; "", VLOOKUP(J64, District!$A$1:$B$25, 2, FALSE), "")</f>
        <v/>
      </c>
      <c r="X64" s="21" t="str">
        <f>IF(K64 &lt;&gt; "", VLOOKUP(K64, IF(J64="Quận 1", Ward!$A$2:$B$11, IF(J64="Quận 2", Ward!$C$2:$D$12, IF(J64="Quận 3", Ward!$E$2:$F$15, IF(J64="Quận 4", Ward!$G$2:$H$16, IF(J64="Quận 5", Ward!$I$2:$J$16, IF(J64="Quận 6", Ward!$K$2:$L$15, IF(J64="Quận 7", Ward!$M$2:$N$11, IF(J64="Quận 8", Ward!$O$2:$P$17, IF(J64="Quận 9", Ward!$Q$2:$R$14, IF(J64="Quận 10", Ward!$S$2:$T$16, IF(J64="Quận 11", Ward!$U$2:$V$17, IF(J64="Quận 12", Ward!$W$2:$X$12, IF(J64="Huyện Bình Chánh", Ward!$Y$2:$Z$17, IF(J64="Quận Bình Tân", Ward!$AA$2:$AB$11, IF(J64="Quận Bình Thạnh", Ward!$AC$2:$AD$21, IF(J64="Huyện Cần Giờ", Ward!$AE$2:$AF$8, IF(J64="Huyện Củ Chi", Ward!$AG$2:$AH$22, IF(J64="Quận Gò Vấp", Ward!$AI$2:$AJ$17, IF(J64="Huyện Hóc Môn", Ward!$AK$2:$AL$13, IF(J64="Huyện Nhà Bè", Ward!$AM$2:$AN$8, IF(J64="Quận Phú Nhuận", Ward!$AO$2:$AP$16, IF(J64="Quận Tân Bình", Ward!$AQ$2:$AR$16, IF(J64="Quận Tân Phú", Ward!$AS$2:$AT$12, IF(J64="Quận Thủ Đức", Ward!$AU$2:$AV$13)))))))))))))))))))))))), 2, FALSE), "")</f>
        <v/>
      </c>
      <c r="Y64" s="20" t="str">
        <f>IF(B64 &lt;&gt; "", VLOOKUP(B64, HospitalType!$A$2:$B$9, 2, FALSE), "")</f>
        <v/>
      </c>
    </row>
    <row r="65" spans="1:25" x14ac:dyDescent="0.25">
      <c r="A65" s="34"/>
      <c r="B65" s="24"/>
      <c r="C65" s="24"/>
      <c r="D65" s="24"/>
      <c r="E65" s="24"/>
      <c r="F65" s="24"/>
      <c r="G65" s="25"/>
      <c r="H65" s="25"/>
      <c r="I65" s="25"/>
      <c r="J65" s="25"/>
      <c r="K65" s="25"/>
      <c r="L65" s="25"/>
      <c r="M65" s="25"/>
      <c r="N65" s="25"/>
      <c r="O65" s="25"/>
      <c r="P65" s="25"/>
      <c r="Q65" s="24"/>
      <c r="R65" s="26"/>
      <c r="S65" s="26"/>
      <c r="T65" s="26"/>
      <c r="U65" s="27"/>
      <c r="V65" s="20" t="str">
        <f>IF(I65 &lt;&gt; "", VLOOKUP(I65, City!$A$1:$B$2, 2, FALSE), "" )</f>
        <v/>
      </c>
      <c r="W65" s="20" t="str">
        <f>IF(J65 &lt;&gt; "", VLOOKUP(J65, District!$A$1:$B$25, 2, FALSE), "")</f>
        <v/>
      </c>
      <c r="X65" s="21" t="str">
        <f>IF(K65 &lt;&gt; "", VLOOKUP(K65, IF(J65="Quận 1", Ward!$A$2:$B$11, IF(J65="Quận 2", Ward!$C$2:$D$12, IF(J65="Quận 3", Ward!$E$2:$F$15, IF(J65="Quận 4", Ward!$G$2:$H$16, IF(J65="Quận 5", Ward!$I$2:$J$16, IF(J65="Quận 6", Ward!$K$2:$L$15, IF(J65="Quận 7", Ward!$M$2:$N$11, IF(J65="Quận 8", Ward!$O$2:$P$17, IF(J65="Quận 9", Ward!$Q$2:$R$14, IF(J65="Quận 10", Ward!$S$2:$T$16, IF(J65="Quận 11", Ward!$U$2:$V$17, IF(J65="Quận 12", Ward!$W$2:$X$12, IF(J65="Huyện Bình Chánh", Ward!$Y$2:$Z$17, IF(J65="Quận Bình Tân", Ward!$AA$2:$AB$11, IF(J65="Quận Bình Thạnh", Ward!$AC$2:$AD$21, IF(J65="Huyện Cần Giờ", Ward!$AE$2:$AF$8, IF(J65="Huyện Củ Chi", Ward!$AG$2:$AH$22, IF(J65="Quận Gò Vấp", Ward!$AI$2:$AJ$17, IF(J65="Huyện Hóc Môn", Ward!$AK$2:$AL$13, IF(J65="Huyện Nhà Bè", Ward!$AM$2:$AN$8, IF(J65="Quận Phú Nhuận", Ward!$AO$2:$AP$16, IF(J65="Quận Tân Bình", Ward!$AQ$2:$AR$16, IF(J65="Quận Tân Phú", Ward!$AS$2:$AT$12, IF(J65="Quận Thủ Đức", Ward!$AU$2:$AV$13)))))))))))))))))))))))), 2, FALSE), "")</f>
        <v/>
      </c>
      <c r="Y65" s="20" t="str">
        <f>IF(B65 &lt;&gt; "", VLOOKUP(B65, HospitalType!$A$2:$B$9, 2, FALSE), "")</f>
        <v/>
      </c>
    </row>
    <row r="66" spans="1:25" x14ac:dyDescent="0.25">
      <c r="A66" s="34"/>
      <c r="B66" s="24"/>
      <c r="C66" s="24"/>
      <c r="D66" s="24"/>
      <c r="E66" s="24"/>
      <c r="F66" s="24"/>
      <c r="G66" s="25"/>
      <c r="H66" s="25"/>
      <c r="I66" s="25"/>
      <c r="J66" s="25"/>
      <c r="K66" s="25"/>
      <c r="L66" s="25"/>
      <c r="M66" s="25"/>
      <c r="N66" s="25"/>
      <c r="O66" s="25"/>
      <c r="P66" s="25"/>
      <c r="Q66" s="24"/>
      <c r="R66" s="26"/>
      <c r="S66" s="26"/>
      <c r="T66" s="26"/>
      <c r="U66" s="27"/>
      <c r="V66" s="20" t="str">
        <f>IF(I66 &lt;&gt; "", VLOOKUP(I66, City!$A$1:$B$2, 2, FALSE), "" )</f>
        <v/>
      </c>
      <c r="W66" s="20" t="str">
        <f>IF(J66 &lt;&gt; "", VLOOKUP(J66, District!$A$1:$B$25, 2, FALSE), "")</f>
        <v/>
      </c>
      <c r="X66" s="21" t="str">
        <f>IF(K66 &lt;&gt; "", VLOOKUP(K66, IF(J66="Quận 1", Ward!$A$2:$B$11, IF(J66="Quận 2", Ward!$C$2:$D$12, IF(J66="Quận 3", Ward!$E$2:$F$15, IF(J66="Quận 4", Ward!$G$2:$H$16, IF(J66="Quận 5", Ward!$I$2:$J$16, IF(J66="Quận 6", Ward!$K$2:$L$15, IF(J66="Quận 7", Ward!$M$2:$N$11, IF(J66="Quận 8", Ward!$O$2:$P$17, IF(J66="Quận 9", Ward!$Q$2:$R$14, IF(J66="Quận 10", Ward!$S$2:$T$16, IF(J66="Quận 11", Ward!$U$2:$V$17, IF(J66="Quận 12", Ward!$W$2:$X$12, IF(J66="Huyện Bình Chánh", Ward!$Y$2:$Z$17, IF(J66="Quận Bình Tân", Ward!$AA$2:$AB$11, IF(J66="Quận Bình Thạnh", Ward!$AC$2:$AD$21, IF(J66="Huyện Cần Giờ", Ward!$AE$2:$AF$8, IF(J66="Huyện Củ Chi", Ward!$AG$2:$AH$22, IF(J66="Quận Gò Vấp", Ward!$AI$2:$AJ$17, IF(J66="Huyện Hóc Môn", Ward!$AK$2:$AL$13, IF(J66="Huyện Nhà Bè", Ward!$AM$2:$AN$8, IF(J66="Quận Phú Nhuận", Ward!$AO$2:$AP$16, IF(J66="Quận Tân Bình", Ward!$AQ$2:$AR$16, IF(J66="Quận Tân Phú", Ward!$AS$2:$AT$12, IF(J66="Quận Thủ Đức", Ward!$AU$2:$AV$13)))))))))))))))))))))))), 2, FALSE), "")</f>
        <v/>
      </c>
      <c r="Y66" s="20" t="str">
        <f>IF(B66 &lt;&gt; "", VLOOKUP(B66, HospitalType!$A$2:$B$9, 2, FALSE), "")</f>
        <v/>
      </c>
    </row>
    <row r="67" spans="1:25" x14ac:dyDescent="0.25">
      <c r="A67" s="34"/>
      <c r="B67" s="24"/>
      <c r="C67" s="24"/>
      <c r="D67" s="24"/>
      <c r="E67" s="24"/>
      <c r="F67" s="24"/>
      <c r="G67" s="25"/>
      <c r="H67" s="25"/>
      <c r="I67" s="25"/>
      <c r="J67" s="25"/>
      <c r="K67" s="25"/>
      <c r="L67" s="25"/>
      <c r="M67" s="25"/>
      <c r="N67" s="25"/>
      <c r="O67" s="25"/>
      <c r="P67" s="25"/>
      <c r="Q67" s="24"/>
      <c r="R67" s="26"/>
      <c r="S67" s="26"/>
      <c r="T67" s="26"/>
      <c r="U67" s="27"/>
      <c r="V67" s="20" t="str">
        <f>IF(I67 &lt;&gt; "", VLOOKUP(I67, City!$A$1:$B$2, 2, FALSE), "" )</f>
        <v/>
      </c>
      <c r="W67" s="20" t="str">
        <f>IF(J67 &lt;&gt; "", VLOOKUP(J67, District!$A$1:$B$25, 2, FALSE), "")</f>
        <v/>
      </c>
      <c r="X67" s="21" t="str">
        <f>IF(K67 &lt;&gt; "", VLOOKUP(K67, IF(J67="Quận 1", Ward!$A$2:$B$11, IF(J67="Quận 2", Ward!$C$2:$D$12, IF(J67="Quận 3", Ward!$E$2:$F$15, IF(J67="Quận 4", Ward!$G$2:$H$16, IF(J67="Quận 5", Ward!$I$2:$J$16, IF(J67="Quận 6", Ward!$K$2:$L$15, IF(J67="Quận 7", Ward!$M$2:$N$11, IF(J67="Quận 8", Ward!$O$2:$P$17, IF(J67="Quận 9", Ward!$Q$2:$R$14, IF(J67="Quận 10", Ward!$S$2:$T$16, IF(J67="Quận 11", Ward!$U$2:$V$17, IF(J67="Quận 12", Ward!$W$2:$X$12, IF(J67="Huyện Bình Chánh", Ward!$Y$2:$Z$17, IF(J67="Quận Bình Tân", Ward!$AA$2:$AB$11, IF(J67="Quận Bình Thạnh", Ward!$AC$2:$AD$21, IF(J67="Huyện Cần Giờ", Ward!$AE$2:$AF$8, IF(J67="Huyện Củ Chi", Ward!$AG$2:$AH$22, IF(J67="Quận Gò Vấp", Ward!$AI$2:$AJ$17, IF(J67="Huyện Hóc Môn", Ward!$AK$2:$AL$13, IF(J67="Huyện Nhà Bè", Ward!$AM$2:$AN$8, IF(J67="Quận Phú Nhuận", Ward!$AO$2:$AP$16, IF(J67="Quận Tân Bình", Ward!$AQ$2:$AR$16, IF(J67="Quận Tân Phú", Ward!$AS$2:$AT$12, IF(J67="Quận Thủ Đức", Ward!$AU$2:$AV$13)))))))))))))))))))))))), 2, FALSE), "")</f>
        <v/>
      </c>
      <c r="Y67" s="20" t="str">
        <f>IF(B67 &lt;&gt; "", VLOOKUP(B67, HospitalType!$A$2:$B$9, 2, FALSE), "")</f>
        <v/>
      </c>
    </row>
    <row r="68" spans="1:25" x14ac:dyDescent="0.25">
      <c r="A68" s="34"/>
      <c r="B68" s="24"/>
      <c r="C68" s="24"/>
      <c r="D68" s="24"/>
      <c r="E68" s="24"/>
      <c r="F68" s="24"/>
      <c r="G68" s="25"/>
      <c r="H68" s="25"/>
      <c r="I68" s="25"/>
      <c r="J68" s="25"/>
      <c r="K68" s="25"/>
      <c r="L68" s="25"/>
      <c r="M68" s="25"/>
      <c r="N68" s="25"/>
      <c r="O68" s="25"/>
      <c r="P68" s="25"/>
      <c r="Q68" s="24"/>
      <c r="R68" s="26"/>
      <c r="S68" s="26"/>
      <c r="T68" s="26"/>
      <c r="U68" s="27"/>
      <c r="V68" s="20" t="str">
        <f>IF(I68 &lt;&gt; "", VLOOKUP(I68, City!$A$1:$B$2, 2, FALSE), "" )</f>
        <v/>
      </c>
      <c r="W68" s="20" t="str">
        <f>IF(J68 &lt;&gt; "", VLOOKUP(J68, District!$A$1:$B$25, 2, FALSE), "")</f>
        <v/>
      </c>
      <c r="X68" s="21" t="str">
        <f>IF(K68 &lt;&gt; "", VLOOKUP(K68, IF(J68="Quận 1", Ward!$A$2:$B$11, IF(J68="Quận 2", Ward!$C$2:$D$12, IF(J68="Quận 3", Ward!$E$2:$F$15, IF(J68="Quận 4", Ward!$G$2:$H$16, IF(J68="Quận 5", Ward!$I$2:$J$16, IF(J68="Quận 6", Ward!$K$2:$L$15, IF(J68="Quận 7", Ward!$M$2:$N$11, IF(J68="Quận 8", Ward!$O$2:$P$17, IF(J68="Quận 9", Ward!$Q$2:$R$14, IF(J68="Quận 10", Ward!$S$2:$T$16, IF(J68="Quận 11", Ward!$U$2:$V$17, IF(J68="Quận 12", Ward!$W$2:$X$12, IF(J68="Huyện Bình Chánh", Ward!$Y$2:$Z$17, IF(J68="Quận Bình Tân", Ward!$AA$2:$AB$11, IF(J68="Quận Bình Thạnh", Ward!$AC$2:$AD$21, IF(J68="Huyện Cần Giờ", Ward!$AE$2:$AF$8, IF(J68="Huyện Củ Chi", Ward!$AG$2:$AH$22, IF(J68="Quận Gò Vấp", Ward!$AI$2:$AJ$17, IF(J68="Huyện Hóc Môn", Ward!$AK$2:$AL$13, IF(J68="Huyện Nhà Bè", Ward!$AM$2:$AN$8, IF(J68="Quận Phú Nhuận", Ward!$AO$2:$AP$16, IF(J68="Quận Tân Bình", Ward!$AQ$2:$AR$16, IF(J68="Quận Tân Phú", Ward!$AS$2:$AT$12, IF(J68="Quận Thủ Đức", Ward!$AU$2:$AV$13)))))))))))))))))))))))), 2, FALSE), "")</f>
        <v/>
      </c>
      <c r="Y68" s="20" t="str">
        <f>IF(B68 &lt;&gt; "", VLOOKUP(B68, HospitalType!$A$2:$B$9, 2, FALSE), "")</f>
        <v/>
      </c>
    </row>
    <row r="69" spans="1:25" x14ac:dyDescent="0.25">
      <c r="A69" s="34"/>
      <c r="B69" s="24"/>
      <c r="C69" s="24"/>
      <c r="D69" s="24"/>
      <c r="E69" s="24"/>
      <c r="F69" s="24"/>
      <c r="G69" s="25"/>
      <c r="H69" s="25"/>
      <c r="I69" s="25"/>
      <c r="J69" s="25"/>
      <c r="K69" s="25"/>
      <c r="L69" s="25"/>
      <c r="M69" s="25"/>
      <c r="N69" s="25"/>
      <c r="O69" s="25"/>
      <c r="P69" s="25"/>
      <c r="Q69" s="24"/>
      <c r="R69" s="26"/>
      <c r="S69" s="26"/>
      <c r="T69" s="26"/>
      <c r="U69" s="27"/>
      <c r="V69" s="20" t="str">
        <f>IF(I69 &lt;&gt; "", VLOOKUP(I69, City!$A$1:$B$2, 2, FALSE), "" )</f>
        <v/>
      </c>
      <c r="W69" s="20" t="str">
        <f>IF(J69 &lt;&gt; "", VLOOKUP(J69, District!$A$1:$B$25, 2, FALSE), "")</f>
        <v/>
      </c>
      <c r="X69" s="21" t="str">
        <f>IF(K69 &lt;&gt; "", VLOOKUP(K69, IF(J69="Quận 1", Ward!$A$2:$B$11, IF(J69="Quận 2", Ward!$C$2:$D$12, IF(J69="Quận 3", Ward!$E$2:$F$15, IF(J69="Quận 4", Ward!$G$2:$H$16, IF(J69="Quận 5", Ward!$I$2:$J$16, IF(J69="Quận 6", Ward!$K$2:$L$15, IF(J69="Quận 7", Ward!$M$2:$N$11, IF(J69="Quận 8", Ward!$O$2:$P$17, IF(J69="Quận 9", Ward!$Q$2:$R$14, IF(J69="Quận 10", Ward!$S$2:$T$16, IF(J69="Quận 11", Ward!$U$2:$V$17, IF(J69="Quận 12", Ward!$W$2:$X$12, IF(J69="Huyện Bình Chánh", Ward!$Y$2:$Z$17, IF(J69="Quận Bình Tân", Ward!$AA$2:$AB$11, IF(J69="Quận Bình Thạnh", Ward!$AC$2:$AD$21, IF(J69="Huyện Cần Giờ", Ward!$AE$2:$AF$8, IF(J69="Huyện Củ Chi", Ward!$AG$2:$AH$22, IF(J69="Quận Gò Vấp", Ward!$AI$2:$AJ$17, IF(J69="Huyện Hóc Môn", Ward!$AK$2:$AL$13, IF(J69="Huyện Nhà Bè", Ward!$AM$2:$AN$8, IF(J69="Quận Phú Nhuận", Ward!$AO$2:$AP$16, IF(J69="Quận Tân Bình", Ward!$AQ$2:$AR$16, IF(J69="Quận Tân Phú", Ward!$AS$2:$AT$12, IF(J69="Quận Thủ Đức", Ward!$AU$2:$AV$13)))))))))))))))))))))))), 2, FALSE), "")</f>
        <v/>
      </c>
      <c r="Y69" s="20" t="str">
        <f>IF(B69 &lt;&gt; "", VLOOKUP(B69, HospitalType!$A$2:$B$9, 2, FALSE), "")</f>
        <v/>
      </c>
    </row>
    <row r="70" spans="1:25" x14ac:dyDescent="0.25">
      <c r="A70" s="34"/>
      <c r="B70" s="24"/>
      <c r="C70" s="24"/>
      <c r="D70" s="24"/>
      <c r="E70" s="24"/>
      <c r="F70" s="24"/>
      <c r="G70" s="25"/>
      <c r="H70" s="25"/>
      <c r="I70" s="25"/>
      <c r="J70" s="25"/>
      <c r="K70" s="25"/>
      <c r="L70" s="25"/>
      <c r="M70" s="25"/>
      <c r="N70" s="25"/>
      <c r="O70" s="25"/>
      <c r="P70" s="25"/>
      <c r="Q70" s="24"/>
      <c r="R70" s="26"/>
      <c r="S70" s="26"/>
      <c r="T70" s="26"/>
      <c r="U70" s="27"/>
      <c r="V70" s="20" t="str">
        <f>IF(I70 &lt;&gt; "", VLOOKUP(I70, City!$A$1:$B$2, 2, FALSE), "" )</f>
        <v/>
      </c>
      <c r="W70" s="20" t="str">
        <f>IF(J70 &lt;&gt; "", VLOOKUP(J70, District!$A$1:$B$25, 2, FALSE), "")</f>
        <v/>
      </c>
      <c r="X70" s="21" t="str">
        <f>IF(K70 &lt;&gt; "", VLOOKUP(K70, IF(J70="Quận 1", Ward!$A$2:$B$11, IF(J70="Quận 2", Ward!$C$2:$D$12, IF(J70="Quận 3", Ward!$E$2:$F$15, IF(J70="Quận 4", Ward!$G$2:$H$16, IF(J70="Quận 5", Ward!$I$2:$J$16, IF(J70="Quận 6", Ward!$K$2:$L$15, IF(J70="Quận 7", Ward!$M$2:$N$11, IF(J70="Quận 8", Ward!$O$2:$P$17, IF(J70="Quận 9", Ward!$Q$2:$R$14, IF(J70="Quận 10", Ward!$S$2:$T$16, IF(J70="Quận 11", Ward!$U$2:$V$17, IF(J70="Quận 12", Ward!$W$2:$X$12, IF(J70="Huyện Bình Chánh", Ward!$Y$2:$Z$17, IF(J70="Quận Bình Tân", Ward!$AA$2:$AB$11, IF(J70="Quận Bình Thạnh", Ward!$AC$2:$AD$21, IF(J70="Huyện Cần Giờ", Ward!$AE$2:$AF$8, IF(J70="Huyện Củ Chi", Ward!$AG$2:$AH$22, IF(J70="Quận Gò Vấp", Ward!$AI$2:$AJ$17, IF(J70="Huyện Hóc Môn", Ward!$AK$2:$AL$13, IF(J70="Huyện Nhà Bè", Ward!$AM$2:$AN$8, IF(J70="Quận Phú Nhuận", Ward!$AO$2:$AP$16, IF(J70="Quận Tân Bình", Ward!$AQ$2:$AR$16, IF(J70="Quận Tân Phú", Ward!$AS$2:$AT$12, IF(J70="Quận Thủ Đức", Ward!$AU$2:$AV$13)))))))))))))))))))))))), 2, FALSE), "")</f>
        <v/>
      </c>
      <c r="Y70" s="20" t="str">
        <f>IF(B70 &lt;&gt; "", VLOOKUP(B70, HospitalType!$A$2:$B$9, 2, FALSE), "")</f>
        <v/>
      </c>
    </row>
    <row r="71" spans="1:25" x14ac:dyDescent="0.25">
      <c r="A71" s="34"/>
      <c r="B71" s="24"/>
      <c r="C71" s="24"/>
      <c r="D71" s="24"/>
      <c r="E71" s="24"/>
      <c r="F71" s="24"/>
      <c r="G71" s="25"/>
      <c r="H71" s="25"/>
      <c r="I71" s="25"/>
      <c r="J71" s="25"/>
      <c r="K71" s="25"/>
      <c r="L71" s="25"/>
      <c r="M71" s="25"/>
      <c r="N71" s="25"/>
      <c r="O71" s="25"/>
      <c r="P71" s="25"/>
      <c r="Q71" s="24"/>
      <c r="R71" s="26"/>
      <c r="S71" s="26"/>
      <c r="T71" s="26"/>
      <c r="U71" s="27"/>
      <c r="V71" s="20" t="str">
        <f>IF(I71 &lt;&gt; "", VLOOKUP(I71, City!$A$1:$B$2, 2, FALSE), "" )</f>
        <v/>
      </c>
      <c r="W71" s="20" t="str">
        <f>IF(J71 &lt;&gt; "", VLOOKUP(J71, District!$A$1:$B$25, 2, FALSE), "")</f>
        <v/>
      </c>
      <c r="X71" s="21" t="str">
        <f>IF(K71 &lt;&gt; "", VLOOKUP(K71, IF(J71="Quận 1", Ward!$A$2:$B$11, IF(J71="Quận 2", Ward!$C$2:$D$12, IF(J71="Quận 3", Ward!$E$2:$F$15, IF(J71="Quận 4", Ward!$G$2:$H$16, IF(J71="Quận 5", Ward!$I$2:$J$16, IF(J71="Quận 6", Ward!$K$2:$L$15, IF(J71="Quận 7", Ward!$M$2:$N$11, IF(J71="Quận 8", Ward!$O$2:$P$17, IF(J71="Quận 9", Ward!$Q$2:$R$14, IF(J71="Quận 10", Ward!$S$2:$T$16, IF(J71="Quận 11", Ward!$U$2:$V$17, IF(J71="Quận 12", Ward!$W$2:$X$12, IF(J71="Huyện Bình Chánh", Ward!$Y$2:$Z$17, IF(J71="Quận Bình Tân", Ward!$AA$2:$AB$11, IF(J71="Quận Bình Thạnh", Ward!$AC$2:$AD$21, IF(J71="Huyện Cần Giờ", Ward!$AE$2:$AF$8, IF(J71="Huyện Củ Chi", Ward!$AG$2:$AH$22, IF(J71="Quận Gò Vấp", Ward!$AI$2:$AJ$17, IF(J71="Huyện Hóc Môn", Ward!$AK$2:$AL$13, IF(J71="Huyện Nhà Bè", Ward!$AM$2:$AN$8, IF(J71="Quận Phú Nhuận", Ward!$AO$2:$AP$16, IF(J71="Quận Tân Bình", Ward!$AQ$2:$AR$16, IF(J71="Quận Tân Phú", Ward!$AS$2:$AT$12, IF(J71="Quận Thủ Đức", Ward!$AU$2:$AV$13)))))))))))))))))))))))), 2, FALSE), "")</f>
        <v/>
      </c>
      <c r="Y71" s="20" t="str">
        <f>IF(B71 &lt;&gt; "", VLOOKUP(B71, HospitalType!$A$2:$B$9, 2, FALSE), "")</f>
        <v/>
      </c>
    </row>
    <row r="72" spans="1:25" x14ac:dyDescent="0.25">
      <c r="A72" s="34"/>
      <c r="B72" s="24"/>
      <c r="C72" s="24"/>
      <c r="D72" s="24"/>
      <c r="E72" s="24"/>
      <c r="F72" s="24"/>
      <c r="G72" s="25"/>
      <c r="H72" s="25"/>
      <c r="I72" s="25"/>
      <c r="J72" s="25"/>
      <c r="K72" s="25"/>
      <c r="L72" s="25"/>
      <c r="M72" s="25"/>
      <c r="N72" s="25"/>
      <c r="O72" s="25"/>
      <c r="P72" s="25"/>
      <c r="Q72" s="24"/>
      <c r="R72" s="26"/>
      <c r="S72" s="26"/>
      <c r="T72" s="26"/>
      <c r="U72" s="27"/>
      <c r="V72" s="20" t="str">
        <f>IF(I72 &lt;&gt; "", VLOOKUP(I72, City!$A$1:$B$2, 2, FALSE), "" )</f>
        <v/>
      </c>
      <c r="W72" s="20" t="str">
        <f>IF(J72 &lt;&gt; "", VLOOKUP(J72, District!$A$1:$B$25, 2, FALSE), "")</f>
        <v/>
      </c>
      <c r="X72" s="21" t="str">
        <f>IF(K72 &lt;&gt; "", VLOOKUP(K72, IF(J72="Quận 1", Ward!$A$2:$B$11, IF(J72="Quận 2", Ward!$C$2:$D$12, IF(J72="Quận 3", Ward!$E$2:$F$15, IF(J72="Quận 4", Ward!$G$2:$H$16, IF(J72="Quận 5", Ward!$I$2:$J$16, IF(J72="Quận 6", Ward!$K$2:$L$15, IF(J72="Quận 7", Ward!$M$2:$N$11, IF(J72="Quận 8", Ward!$O$2:$P$17, IF(J72="Quận 9", Ward!$Q$2:$R$14, IF(J72="Quận 10", Ward!$S$2:$T$16, IF(J72="Quận 11", Ward!$U$2:$V$17, IF(J72="Quận 12", Ward!$W$2:$X$12, IF(J72="Huyện Bình Chánh", Ward!$Y$2:$Z$17, IF(J72="Quận Bình Tân", Ward!$AA$2:$AB$11, IF(J72="Quận Bình Thạnh", Ward!$AC$2:$AD$21, IF(J72="Huyện Cần Giờ", Ward!$AE$2:$AF$8, IF(J72="Huyện Củ Chi", Ward!$AG$2:$AH$22, IF(J72="Quận Gò Vấp", Ward!$AI$2:$AJ$17, IF(J72="Huyện Hóc Môn", Ward!$AK$2:$AL$13, IF(J72="Huyện Nhà Bè", Ward!$AM$2:$AN$8, IF(J72="Quận Phú Nhuận", Ward!$AO$2:$AP$16, IF(J72="Quận Tân Bình", Ward!$AQ$2:$AR$16, IF(J72="Quận Tân Phú", Ward!$AS$2:$AT$12, IF(J72="Quận Thủ Đức", Ward!$AU$2:$AV$13)))))))))))))))))))))))), 2, FALSE), "")</f>
        <v/>
      </c>
      <c r="Y72" s="20" t="str">
        <f>IF(B72 &lt;&gt; "", VLOOKUP(B72, HospitalType!$A$2:$B$9, 2, FALSE), "")</f>
        <v/>
      </c>
    </row>
    <row r="73" spans="1:25" x14ac:dyDescent="0.25">
      <c r="A73" s="34"/>
      <c r="B73" s="24"/>
      <c r="C73" s="24"/>
      <c r="D73" s="24"/>
      <c r="E73" s="24"/>
      <c r="F73" s="24"/>
      <c r="G73" s="25"/>
      <c r="H73" s="25"/>
      <c r="I73" s="25"/>
      <c r="J73" s="25"/>
      <c r="K73" s="25"/>
      <c r="L73" s="25"/>
      <c r="M73" s="25"/>
      <c r="N73" s="25"/>
      <c r="O73" s="25"/>
      <c r="P73" s="25"/>
      <c r="Q73" s="24"/>
      <c r="R73" s="26"/>
      <c r="S73" s="26"/>
      <c r="T73" s="26"/>
      <c r="U73" s="27"/>
      <c r="V73" s="20" t="str">
        <f>IF(I73 &lt;&gt; "", VLOOKUP(I73, City!$A$1:$B$2, 2, FALSE), "" )</f>
        <v/>
      </c>
      <c r="W73" s="20" t="str">
        <f>IF(J73 &lt;&gt; "", VLOOKUP(J73, District!$A$1:$B$25, 2, FALSE), "")</f>
        <v/>
      </c>
      <c r="X73" s="21" t="str">
        <f>IF(K73 &lt;&gt; "", VLOOKUP(K73, IF(J73="Quận 1", Ward!$A$2:$B$11, IF(J73="Quận 2", Ward!$C$2:$D$12, IF(J73="Quận 3", Ward!$E$2:$F$15, IF(J73="Quận 4", Ward!$G$2:$H$16, IF(J73="Quận 5", Ward!$I$2:$J$16, IF(J73="Quận 6", Ward!$K$2:$L$15, IF(J73="Quận 7", Ward!$M$2:$N$11, IF(J73="Quận 8", Ward!$O$2:$P$17, IF(J73="Quận 9", Ward!$Q$2:$R$14, IF(J73="Quận 10", Ward!$S$2:$T$16, IF(J73="Quận 11", Ward!$U$2:$V$17, IF(J73="Quận 12", Ward!$W$2:$X$12, IF(J73="Huyện Bình Chánh", Ward!$Y$2:$Z$17, IF(J73="Quận Bình Tân", Ward!$AA$2:$AB$11, IF(J73="Quận Bình Thạnh", Ward!$AC$2:$AD$21, IF(J73="Huyện Cần Giờ", Ward!$AE$2:$AF$8, IF(J73="Huyện Củ Chi", Ward!$AG$2:$AH$22, IF(J73="Quận Gò Vấp", Ward!$AI$2:$AJ$17, IF(J73="Huyện Hóc Môn", Ward!$AK$2:$AL$13, IF(J73="Huyện Nhà Bè", Ward!$AM$2:$AN$8, IF(J73="Quận Phú Nhuận", Ward!$AO$2:$AP$16, IF(J73="Quận Tân Bình", Ward!$AQ$2:$AR$16, IF(J73="Quận Tân Phú", Ward!$AS$2:$AT$12, IF(J73="Quận Thủ Đức", Ward!$AU$2:$AV$13)))))))))))))))))))))))), 2, FALSE), "")</f>
        <v/>
      </c>
      <c r="Y73" s="20" t="str">
        <f>IF(B73 &lt;&gt; "", VLOOKUP(B73, HospitalType!$A$2:$B$9, 2, FALSE), "")</f>
        <v/>
      </c>
    </row>
    <row r="74" spans="1:25" x14ac:dyDescent="0.25">
      <c r="A74" s="34"/>
      <c r="B74" s="24"/>
      <c r="C74" s="24"/>
      <c r="D74" s="24"/>
      <c r="E74" s="24"/>
      <c r="F74" s="24"/>
      <c r="G74" s="25"/>
      <c r="H74" s="25"/>
      <c r="I74" s="25"/>
      <c r="J74" s="25"/>
      <c r="K74" s="25"/>
      <c r="L74" s="25"/>
      <c r="M74" s="25"/>
      <c r="N74" s="25"/>
      <c r="O74" s="25"/>
      <c r="P74" s="25"/>
      <c r="Q74" s="24"/>
      <c r="R74" s="26"/>
      <c r="S74" s="26"/>
      <c r="T74" s="26"/>
      <c r="U74" s="27"/>
      <c r="V74" s="20" t="str">
        <f>IF(I74 &lt;&gt; "", VLOOKUP(I74, City!$A$1:$B$2, 2, FALSE), "" )</f>
        <v/>
      </c>
      <c r="W74" s="20" t="str">
        <f>IF(J74 &lt;&gt; "", VLOOKUP(J74, District!$A$1:$B$25, 2, FALSE), "")</f>
        <v/>
      </c>
      <c r="X74" s="21" t="str">
        <f>IF(K74 &lt;&gt; "", VLOOKUP(K74, IF(J74="Quận 1", Ward!$A$2:$B$11, IF(J74="Quận 2", Ward!$C$2:$D$12, IF(J74="Quận 3", Ward!$E$2:$F$15, IF(J74="Quận 4", Ward!$G$2:$H$16, IF(J74="Quận 5", Ward!$I$2:$J$16, IF(J74="Quận 6", Ward!$K$2:$L$15, IF(J74="Quận 7", Ward!$M$2:$N$11, IF(J74="Quận 8", Ward!$O$2:$P$17, IF(J74="Quận 9", Ward!$Q$2:$R$14, IF(J74="Quận 10", Ward!$S$2:$T$16, IF(J74="Quận 11", Ward!$U$2:$V$17, IF(J74="Quận 12", Ward!$W$2:$X$12, IF(J74="Huyện Bình Chánh", Ward!$Y$2:$Z$17, IF(J74="Quận Bình Tân", Ward!$AA$2:$AB$11, IF(J74="Quận Bình Thạnh", Ward!$AC$2:$AD$21, IF(J74="Huyện Cần Giờ", Ward!$AE$2:$AF$8, IF(J74="Huyện Củ Chi", Ward!$AG$2:$AH$22, IF(J74="Quận Gò Vấp", Ward!$AI$2:$AJ$17, IF(J74="Huyện Hóc Môn", Ward!$AK$2:$AL$13, IF(J74="Huyện Nhà Bè", Ward!$AM$2:$AN$8, IF(J74="Quận Phú Nhuận", Ward!$AO$2:$AP$16, IF(J74="Quận Tân Bình", Ward!$AQ$2:$AR$16, IF(J74="Quận Tân Phú", Ward!$AS$2:$AT$12, IF(J74="Quận Thủ Đức", Ward!$AU$2:$AV$13)))))))))))))))))))))))), 2, FALSE), "")</f>
        <v/>
      </c>
      <c r="Y74" s="20" t="str">
        <f>IF(B74 &lt;&gt; "", VLOOKUP(B74, HospitalType!$A$2:$B$9, 2, FALSE), "")</f>
        <v/>
      </c>
    </row>
    <row r="75" spans="1:25" x14ac:dyDescent="0.25">
      <c r="A75" s="34"/>
      <c r="B75" s="24"/>
      <c r="C75" s="24"/>
      <c r="D75" s="24"/>
      <c r="E75" s="24"/>
      <c r="F75" s="24"/>
      <c r="G75" s="25"/>
      <c r="H75" s="25"/>
      <c r="I75" s="25"/>
      <c r="J75" s="25"/>
      <c r="K75" s="25"/>
      <c r="L75" s="25"/>
      <c r="M75" s="25"/>
      <c r="N75" s="25"/>
      <c r="O75" s="25"/>
      <c r="P75" s="25"/>
      <c r="Q75" s="24"/>
      <c r="R75" s="26"/>
      <c r="S75" s="26"/>
      <c r="T75" s="26"/>
      <c r="U75" s="27"/>
      <c r="V75" s="20" t="str">
        <f>IF(I75 &lt;&gt; "", VLOOKUP(I75, City!$A$1:$B$2, 2, FALSE), "" )</f>
        <v/>
      </c>
      <c r="W75" s="20" t="str">
        <f>IF(J75 &lt;&gt; "", VLOOKUP(J75, District!$A$1:$B$25, 2, FALSE), "")</f>
        <v/>
      </c>
      <c r="X75" s="21" t="str">
        <f>IF(K75 &lt;&gt; "", VLOOKUP(K75, IF(J75="Quận 1", Ward!$A$2:$B$11, IF(J75="Quận 2", Ward!$C$2:$D$12, IF(J75="Quận 3", Ward!$E$2:$F$15, IF(J75="Quận 4", Ward!$G$2:$H$16, IF(J75="Quận 5", Ward!$I$2:$J$16, IF(J75="Quận 6", Ward!$K$2:$L$15, IF(J75="Quận 7", Ward!$M$2:$N$11, IF(J75="Quận 8", Ward!$O$2:$P$17, IF(J75="Quận 9", Ward!$Q$2:$R$14, IF(J75="Quận 10", Ward!$S$2:$T$16, IF(J75="Quận 11", Ward!$U$2:$V$17, IF(J75="Quận 12", Ward!$W$2:$X$12, IF(J75="Huyện Bình Chánh", Ward!$Y$2:$Z$17, IF(J75="Quận Bình Tân", Ward!$AA$2:$AB$11, IF(J75="Quận Bình Thạnh", Ward!$AC$2:$AD$21, IF(J75="Huyện Cần Giờ", Ward!$AE$2:$AF$8, IF(J75="Huyện Củ Chi", Ward!$AG$2:$AH$22, IF(J75="Quận Gò Vấp", Ward!$AI$2:$AJ$17, IF(J75="Huyện Hóc Môn", Ward!$AK$2:$AL$13, IF(J75="Huyện Nhà Bè", Ward!$AM$2:$AN$8, IF(J75="Quận Phú Nhuận", Ward!$AO$2:$AP$16, IF(J75="Quận Tân Bình", Ward!$AQ$2:$AR$16, IF(J75="Quận Tân Phú", Ward!$AS$2:$AT$12, IF(J75="Quận Thủ Đức", Ward!$AU$2:$AV$13)))))))))))))))))))))))), 2, FALSE), "")</f>
        <v/>
      </c>
      <c r="Y75" s="20" t="str">
        <f>IF(B75 &lt;&gt; "", VLOOKUP(B75, HospitalType!$A$2:$B$9, 2, FALSE), "")</f>
        <v/>
      </c>
    </row>
    <row r="76" spans="1:25" x14ac:dyDescent="0.25">
      <c r="A76" s="34"/>
      <c r="B76" s="24"/>
      <c r="C76" s="24"/>
      <c r="D76" s="24"/>
      <c r="E76" s="24"/>
      <c r="F76" s="24"/>
      <c r="G76" s="25"/>
      <c r="H76" s="25"/>
      <c r="I76" s="25"/>
      <c r="J76" s="25"/>
      <c r="K76" s="25"/>
      <c r="L76" s="25"/>
      <c r="M76" s="25"/>
      <c r="N76" s="25"/>
      <c r="O76" s="25"/>
      <c r="P76" s="25"/>
      <c r="Q76" s="24"/>
      <c r="R76" s="26"/>
      <c r="S76" s="26"/>
      <c r="T76" s="26"/>
      <c r="U76" s="27"/>
      <c r="V76" s="20" t="str">
        <f>IF(I76 &lt;&gt; "", VLOOKUP(I76, City!$A$1:$B$2, 2, FALSE), "" )</f>
        <v/>
      </c>
      <c r="W76" s="20" t="str">
        <f>IF(J76 &lt;&gt; "", VLOOKUP(J76, District!$A$1:$B$25, 2, FALSE), "")</f>
        <v/>
      </c>
      <c r="X76" s="21" t="str">
        <f>IF(K76 &lt;&gt; "", VLOOKUP(K76, IF(J76="Quận 1", Ward!$A$2:$B$11, IF(J76="Quận 2", Ward!$C$2:$D$12, IF(J76="Quận 3", Ward!$E$2:$F$15, IF(J76="Quận 4", Ward!$G$2:$H$16, IF(J76="Quận 5", Ward!$I$2:$J$16, IF(J76="Quận 6", Ward!$K$2:$L$15, IF(J76="Quận 7", Ward!$M$2:$N$11, IF(J76="Quận 8", Ward!$O$2:$P$17, IF(J76="Quận 9", Ward!$Q$2:$R$14, IF(J76="Quận 10", Ward!$S$2:$T$16, IF(J76="Quận 11", Ward!$U$2:$V$17, IF(J76="Quận 12", Ward!$W$2:$X$12, IF(J76="Huyện Bình Chánh", Ward!$Y$2:$Z$17, IF(J76="Quận Bình Tân", Ward!$AA$2:$AB$11, IF(J76="Quận Bình Thạnh", Ward!$AC$2:$AD$21, IF(J76="Huyện Cần Giờ", Ward!$AE$2:$AF$8, IF(J76="Huyện Củ Chi", Ward!$AG$2:$AH$22, IF(J76="Quận Gò Vấp", Ward!$AI$2:$AJ$17, IF(J76="Huyện Hóc Môn", Ward!$AK$2:$AL$13, IF(J76="Huyện Nhà Bè", Ward!$AM$2:$AN$8, IF(J76="Quận Phú Nhuận", Ward!$AO$2:$AP$16, IF(J76="Quận Tân Bình", Ward!$AQ$2:$AR$16, IF(J76="Quận Tân Phú", Ward!$AS$2:$AT$12, IF(J76="Quận Thủ Đức", Ward!$AU$2:$AV$13)))))))))))))))))))))))), 2, FALSE), "")</f>
        <v/>
      </c>
      <c r="Y76" s="20" t="str">
        <f>IF(B76 &lt;&gt; "", VLOOKUP(B76, HospitalType!$A$2:$B$9, 2, FALSE), "")</f>
        <v/>
      </c>
    </row>
    <row r="77" spans="1:25" x14ac:dyDescent="0.25">
      <c r="A77" s="34"/>
      <c r="B77" s="24"/>
      <c r="C77" s="24"/>
      <c r="D77" s="24"/>
      <c r="E77" s="24"/>
      <c r="F77" s="24"/>
      <c r="G77" s="25"/>
      <c r="H77" s="25"/>
      <c r="I77" s="25"/>
      <c r="J77" s="25"/>
      <c r="K77" s="25"/>
      <c r="L77" s="25"/>
      <c r="M77" s="25"/>
      <c r="N77" s="25"/>
      <c r="O77" s="25"/>
      <c r="P77" s="25"/>
      <c r="Q77" s="24"/>
      <c r="R77" s="26"/>
      <c r="S77" s="26"/>
      <c r="T77" s="26"/>
      <c r="U77" s="27"/>
      <c r="V77" s="20" t="str">
        <f>IF(I77 &lt;&gt; "", VLOOKUP(I77, City!$A$1:$B$2, 2, FALSE), "" )</f>
        <v/>
      </c>
      <c r="W77" s="20" t="str">
        <f>IF(J77 &lt;&gt; "", VLOOKUP(J77, District!$A$1:$B$25, 2, FALSE), "")</f>
        <v/>
      </c>
      <c r="X77" s="21" t="str">
        <f>IF(K77 &lt;&gt; "", VLOOKUP(K77, IF(J77="Quận 1", Ward!$A$2:$B$11, IF(J77="Quận 2", Ward!$C$2:$D$12, IF(J77="Quận 3", Ward!$E$2:$F$15, IF(J77="Quận 4", Ward!$G$2:$H$16, IF(J77="Quận 5", Ward!$I$2:$J$16, IF(J77="Quận 6", Ward!$K$2:$L$15, IF(J77="Quận 7", Ward!$M$2:$N$11, IF(J77="Quận 8", Ward!$O$2:$P$17, IF(J77="Quận 9", Ward!$Q$2:$R$14, IF(J77="Quận 10", Ward!$S$2:$T$16, IF(J77="Quận 11", Ward!$U$2:$V$17, IF(J77="Quận 12", Ward!$W$2:$X$12, IF(J77="Huyện Bình Chánh", Ward!$Y$2:$Z$17, IF(J77="Quận Bình Tân", Ward!$AA$2:$AB$11, IF(J77="Quận Bình Thạnh", Ward!$AC$2:$AD$21, IF(J77="Huyện Cần Giờ", Ward!$AE$2:$AF$8, IF(J77="Huyện Củ Chi", Ward!$AG$2:$AH$22, IF(J77="Quận Gò Vấp", Ward!$AI$2:$AJ$17, IF(J77="Huyện Hóc Môn", Ward!$AK$2:$AL$13, IF(J77="Huyện Nhà Bè", Ward!$AM$2:$AN$8, IF(J77="Quận Phú Nhuận", Ward!$AO$2:$AP$16, IF(J77="Quận Tân Bình", Ward!$AQ$2:$AR$16, IF(J77="Quận Tân Phú", Ward!$AS$2:$AT$12, IF(J77="Quận Thủ Đức", Ward!$AU$2:$AV$13)))))))))))))))))))))))), 2, FALSE), "")</f>
        <v/>
      </c>
      <c r="Y77" s="20" t="str">
        <f>IF(B77 &lt;&gt; "", VLOOKUP(B77, HospitalType!$A$2:$B$9, 2, FALSE), "")</f>
        <v/>
      </c>
    </row>
    <row r="78" spans="1:25" x14ac:dyDescent="0.25">
      <c r="A78" s="34"/>
      <c r="B78" s="24"/>
      <c r="C78" s="24"/>
      <c r="D78" s="24"/>
      <c r="E78" s="24"/>
      <c r="F78" s="24"/>
      <c r="G78" s="25"/>
      <c r="H78" s="25"/>
      <c r="I78" s="25"/>
      <c r="J78" s="25"/>
      <c r="K78" s="25"/>
      <c r="L78" s="25"/>
      <c r="M78" s="25"/>
      <c r="N78" s="25"/>
      <c r="O78" s="25"/>
      <c r="P78" s="25"/>
      <c r="Q78" s="24"/>
      <c r="R78" s="26"/>
      <c r="S78" s="26"/>
      <c r="T78" s="26"/>
      <c r="U78" s="27"/>
      <c r="V78" s="20" t="str">
        <f>IF(I78 &lt;&gt; "", VLOOKUP(I78, City!$A$1:$B$2, 2, FALSE), "" )</f>
        <v/>
      </c>
      <c r="W78" s="20" t="str">
        <f>IF(J78 &lt;&gt; "", VLOOKUP(J78, District!$A$1:$B$25, 2, FALSE), "")</f>
        <v/>
      </c>
      <c r="X78" s="21" t="str">
        <f>IF(K78 &lt;&gt; "", VLOOKUP(K78, IF(J78="Quận 1", Ward!$A$2:$B$11, IF(J78="Quận 2", Ward!$C$2:$D$12, IF(J78="Quận 3", Ward!$E$2:$F$15, IF(J78="Quận 4", Ward!$G$2:$H$16, IF(J78="Quận 5", Ward!$I$2:$J$16, IF(J78="Quận 6", Ward!$K$2:$L$15, IF(J78="Quận 7", Ward!$M$2:$N$11, IF(J78="Quận 8", Ward!$O$2:$P$17, IF(J78="Quận 9", Ward!$Q$2:$R$14, IF(J78="Quận 10", Ward!$S$2:$T$16, IF(J78="Quận 11", Ward!$U$2:$V$17, IF(J78="Quận 12", Ward!$W$2:$X$12, IF(J78="Huyện Bình Chánh", Ward!$Y$2:$Z$17, IF(J78="Quận Bình Tân", Ward!$AA$2:$AB$11, IF(J78="Quận Bình Thạnh", Ward!$AC$2:$AD$21, IF(J78="Huyện Cần Giờ", Ward!$AE$2:$AF$8, IF(J78="Huyện Củ Chi", Ward!$AG$2:$AH$22, IF(J78="Quận Gò Vấp", Ward!$AI$2:$AJ$17, IF(J78="Huyện Hóc Môn", Ward!$AK$2:$AL$13, IF(J78="Huyện Nhà Bè", Ward!$AM$2:$AN$8, IF(J78="Quận Phú Nhuận", Ward!$AO$2:$AP$16, IF(J78="Quận Tân Bình", Ward!$AQ$2:$AR$16, IF(J78="Quận Tân Phú", Ward!$AS$2:$AT$12, IF(J78="Quận Thủ Đức", Ward!$AU$2:$AV$13)))))))))))))))))))))))), 2, FALSE), "")</f>
        <v/>
      </c>
      <c r="Y78" s="20" t="str">
        <f>IF(B78 &lt;&gt; "", VLOOKUP(B78, HospitalType!$A$2:$B$9, 2, FALSE), "")</f>
        <v/>
      </c>
    </row>
    <row r="79" spans="1:25" x14ac:dyDescent="0.25">
      <c r="A79" s="34"/>
      <c r="B79" s="24"/>
      <c r="C79" s="24"/>
      <c r="D79" s="24"/>
      <c r="E79" s="24"/>
      <c r="F79" s="24"/>
      <c r="G79" s="25"/>
      <c r="H79" s="25"/>
      <c r="I79" s="25"/>
      <c r="J79" s="25"/>
      <c r="K79" s="25"/>
      <c r="L79" s="25"/>
      <c r="M79" s="25"/>
      <c r="N79" s="25"/>
      <c r="O79" s="25"/>
      <c r="P79" s="25"/>
      <c r="Q79" s="24"/>
      <c r="R79" s="26"/>
      <c r="S79" s="26"/>
      <c r="T79" s="26"/>
      <c r="U79" s="27"/>
      <c r="V79" s="20" t="str">
        <f>IF(I79 &lt;&gt; "", VLOOKUP(I79, City!$A$1:$B$2, 2, FALSE), "" )</f>
        <v/>
      </c>
      <c r="W79" s="20" t="str">
        <f>IF(J79 &lt;&gt; "", VLOOKUP(J79, District!$A$1:$B$25, 2, FALSE), "")</f>
        <v/>
      </c>
      <c r="X79" s="21" t="str">
        <f>IF(K79 &lt;&gt; "", VLOOKUP(K79, IF(J79="Quận 1", Ward!$A$2:$B$11, IF(J79="Quận 2", Ward!$C$2:$D$12, IF(J79="Quận 3", Ward!$E$2:$F$15, IF(J79="Quận 4", Ward!$G$2:$H$16, IF(J79="Quận 5", Ward!$I$2:$J$16, IF(J79="Quận 6", Ward!$K$2:$L$15, IF(J79="Quận 7", Ward!$M$2:$N$11, IF(J79="Quận 8", Ward!$O$2:$P$17, IF(J79="Quận 9", Ward!$Q$2:$R$14, IF(J79="Quận 10", Ward!$S$2:$T$16, IF(J79="Quận 11", Ward!$U$2:$V$17, IF(J79="Quận 12", Ward!$W$2:$X$12, IF(J79="Huyện Bình Chánh", Ward!$Y$2:$Z$17, IF(J79="Quận Bình Tân", Ward!$AA$2:$AB$11, IF(J79="Quận Bình Thạnh", Ward!$AC$2:$AD$21, IF(J79="Huyện Cần Giờ", Ward!$AE$2:$AF$8, IF(J79="Huyện Củ Chi", Ward!$AG$2:$AH$22, IF(J79="Quận Gò Vấp", Ward!$AI$2:$AJ$17, IF(J79="Huyện Hóc Môn", Ward!$AK$2:$AL$13, IF(J79="Huyện Nhà Bè", Ward!$AM$2:$AN$8, IF(J79="Quận Phú Nhuận", Ward!$AO$2:$AP$16, IF(J79="Quận Tân Bình", Ward!$AQ$2:$AR$16, IF(J79="Quận Tân Phú", Ward!$AS$2:$AT$12, IF(J79="Quận Thủ Đức", Ward!$AU$2:$AV$13)))))))))))))))))))))))), 2, FALSE), "")</f>
        <v/>
      </c>
      <c r="Y79" s="20" t="str">
        <f>IF(B79 &lt;&gt; "", VLOOKUP(B79, HospitalType!$A$2:$B$9, 2, FALSE), "")</f>
        <v/>
      </c>
    </row>
    <row r="80" spans="1:25" x14ac:dyDescent="0.25">
      <c r="A80" s="34"/>
      <c r="B80" s="24"/>
      <c r="C80" s="24"/>
      <c r="D80" s="24"/>
      <c r="E80" s="24"/>
      <c r="F80" s="24"/>
      <c r="G80" s="25"/>
      <c r="H80" s="25"/>
      <c r="I80" s="25"/>
      <c r="J80" s="25"/>
      <c r="K80" s="25"/>
      <c r="L80" s="25"/>
      <c r="M80" s="25"/>
      <c r="N80" s="25"/>
      <c r="O80" s="25"/>
      <c r="P80" s="25"/>
      <c r="Q80" s="24"/>
      <c r="R80" s="26"/>
      <c r="S80" s="26"/>
      <c r="T80" s="26"/>
      <c r="U80" s="27"/>
      <c r="V80" s="20" t="str">
        <f>IF(I80 &lt;&gt; "", VLOOKUP(I80, City!$A$1:$B$2, 2, FALSE), "" )</f>
        <v/>
      </c>
      <c r="W80" s="20" t="str">
        <f>IF(J80 &lt;&gt; "", VLOOKUP(J80, District!$A$1:$B$25, 2, FALSE), "")</f>
        <v/>
      </c>
      <c r="X80" s="21" t="str">
        <f>IF(K80 &lt;&gt; "", VLOOKUP(K80, IF(J80="Quận 1", Ward!$A$2:$B$11, IF(J80="Quận 2", Ward!$C$2:$D$12, IF(J80="Quận 3", Ward!$E$2:$F$15, IF(J80="Quận 4", Ward!$G$2:$H$16, IF(J80="Quận 5", Ward!$I$2:$J$16, IF(J80="Quận 6", Ward!$K$2:$L$15, IF(J80="Quận 7", Ward!$M$2:$N$11, IF(J80="Quận 8", Ward!$O$2:$P$17, IF(J80="Quận 9", Ward!$Q$2:$R$14, IF(J80="Quận 10", Ward!$S$2:$T$16, IF(J80="Quận 11", Ward!$U$2:$V$17, IF(J80="Quận 12", Ward!$W$2:$X$12, IF(J80="Huyện Bình Chánh", Ward!$Y$2:$Z$17, IF(J80="Quận Bình Tân", Ward!$AA$2:$AB$11, IF(J80="Quận Bình Thạnh", Ward!$AC$2:$AD$21, IF(J80="Huyện Cần Giờ", Ward!$AE$2:$AF$8, IF(J80="Huyện Củ Chi", Ward!$AG$2:$AH$22, IF(J80="Quận Gò Vấp", Ward!$AI$2:$AJ$17, IF(J80="Huyện Hóc Môn", Ward!$AK$2:$AL$13, IF(J80="Huyện Nhà Bè", Ward!$AM$2:$AN$8, IF(J80="Quận Phú Nhuận", Ward!$AO$2:$AP$16, IF(J80="Quận Tân Bình", Ward!$AQ$2:$AR$16, IF(J80="Quận Tân Phú", Ward!$AS$2:$AT$12, IF(J80="Quận Thủ Đức", Ward!$AU$2:$AV$13)))))))))))))))))))))))), 2, FALSE), "")</f>
        <v/>
      </c>
      <c r="Y80" s="20" t="str">
        <f>IF(B80 &lt;&gt; "", VLOOKUP(B80, HospitalType!$A$2:$B$9, 2, FALSE), "")</f>
        <v/>
      </c>
    </row>
    <row r="81" spans="1:25" x14ac:dyDescent="0.25">
      <c r="A81" s="34"/>
      <c r="B81" s="24"/>
      <c r="C81" s="24"/>
      <c r="D81" s="24"/>
      <c r="E81" s="24"/>
      <c r="F81" s="24"/>
      <c r="G81" s="25"/>
      <c r="H81" s="25"/>
      <c r="I81" s="25"/>
      <c r="J81" s="25"/>
      <c r="K81" s="25"/>
      <c r="L81" s="25"/>
      <c r="M81" s="25"/>
      <c r="N81" s="25"/>
      <c r="O81" s="25"/>
      <c r="P81" s="25"/>
      <c r="Q81" s="24"/>
      <c r="R81" s="26"/>
      <c r="S81" s="26"/>
      <c r="T81" s="26"/>
      <c r="U81" s="27"/>
      <c r="V81" s="20" t="str">
        <f>IF(I81 &lt;&gt; "", VLOOKUP(I81, City!$A$1:$B$2, 2, FALSE), "" )</f>
        <v/>
      </c>
      <c r="W81" s="20" t="str">
        <f>IF(J81 &lt;&gt; "", VLOOKUP(J81, District!$A$1:$B$25, 2, FALSE), "")</f>
        <v/>
      </c>
      <c r="X81" s="21" t="str">
        <f>IF(K81 &lt;&gt; "", VLOOKUP(K81, IF(J81="Quận 1", Ward!$A$2:$B$11, IF(J81="Quận 2", Ward!$C$2:$D$12, IF(J81="Quận 3", Ward!$E$2:$F$15, IF(J81="Quận 4", Ward!$G$2:$H$16, IF(J81="Quận 5", Ward!$I$2:$J$16, IF(J81="Quận 6", Ward!$K$2:$L$15, IF(J81="Quận 7", Ward!$M$2:$N$11, IF(J81="Quận 8", Ward!$O$2:$P$17, IF(J81="Quận 9", Ward!$Q$2:$R$14, IF(J81="Quận 10", Ward!$S$2:$T$16, IF(J81="Quận 11", Ward!$U$2:$V$17, IF(J81="Quận 12", Ward!$W$2:$X$12, IF(J81="Huyện Bình Chánh", Ward!$Y$2:$Z$17, IF(J81="Quận Bình Tân", Ward!$AA$2:$AB$11, IF(J81="Quận Bình Thạnh", Ward!$AC$2:$AD$21, IF(J81="Huyện Cần Giờ", Ward!$AE$2:$AF$8, IF(J81="Huyện Củ Chi", Ward!$AG$2:$AH$22, IF(J81="Quận Gò Vấp", Ward!$AI$2:$AJ$17, IF(J81="Huyện Hóc Môn", Ward!$AK$2:$AL$13, IF(J81="Huyện Nhà Bè", Ward!$AM$2:$AN$8, IF(J81="Quận Phú Nhuận", Ward!$AO$2:$AP$16, IF(J81="Quận Tân Bình", Ward!$AQ$2:$AR$16, IF(J81="Quận Tân Phú", Ward!$AS$2:$AT$12, IF(J81="Quận Thủ Đức", Ward!$AU$2:$AV$13)))))))))))))))))))))))), 2, FALSE), "")</f>
        <v/>
      </c>
      <c r="Y81" s="20" t="str">
        <f>IF(B81 &lt;&gt; "", VLOOKUP(B81, HospitalType!$A$2:$B$9, 2, FALSE), "")</f>
        <v/>
      </c>
    </row>
    <row r="82" spans="1:25" x14ac:dyDescent="0.25">
      <c r="A82" s="34"/>
      <c r="B82" s="24"/>
      <c r="C82" s="24"/>
      <c r="D82" s="24"/>
      <c r="E82" s="24"/>
      <c r="F82" s="24"/>
      <c r="G82" s="25"/>
      <c r="H82" s="25"/>
      <c r="I82" s="25"/>
      <c r="J82" s="25"/>
      <c r="K82" s="25"/>
      <c r="L82" s="25"/>
      <c r="M82" s="25"/>
      <c r="N82" s="25"/>
      <c r="O82" s="25"/>
      <c r="P82" s="25"/>
      <c r="Q82" s="24"/>
      <c r="R82" s="26"/>
      <c r="S82" s="26"/>
      <c r="T82" s="26"/>
      <c r="U82" s="27"/>
      <c r="V82" s="20" t="str">
        <f>IF(I82 &lt;&gt; "", VLOOKUP(I82, City!$A$1:$B$2, 2, FALSE), "" )</f>
        <v/>
      </c>
      <c r="W82" s="20" t="str">
        <f>IF(J82 &lt;&gt; "", VLOOKUP(J82, District!$A$1:$B$25, 2, FALSE), "")</f>
        <v/>
      </c>
      <c r="X82" s="21" t="str">
        <f>IF(K82 &lt;&gt; "", VLOOKUP(K82, IF(J82="Quận 1", Ward!$A$2:$B$11, IF(J82="Quận 2", Ward!$C$2:$D$12, IF(J82="Quận 3", Ward!$E$2:$F$15, IF(J82="Quận 4", Ward!$G$2:$H$16, IF(J82="Quận 5", Ward!$I$2:$J$16, IF(J82="Quận 6", Ward!$K$2:$L$15, IF(J82="Quận 7", Ward!$M$2:$N$11, IF(J82="Quận 8", Ward!$O$2:$P$17, IF(J82="Quận 9", Ward!$Q$2:$R$14, IF(J82="Quận 10", Ward!$S$2:$T$16, IF(J82="Quận 11", Ward!$U$2:$V$17, IF(J82="Quận 12", Ward!$W$2:$X$12, IF(J82="Huyện Bình Chánh", Ward!$Y$2:$Z$17, IF(J82="Quận Bình Tân", Ward!$AA$2:$AB$11, IF(J82="Quận Bình Thạnh", Ward!$AC$2:$AD$21, IF(J82="Huyện Cần Giờ", Ward!$AE$2:$AF$8, IF(J82="Huyện Củ Chi", Ward!$AG$2:$AH$22, IF(J82="Quận Gò Vấp", Ward!$AI$2:$AJ$17, IF(J82="Huyện Hóc Môn", Ward!$AK$2:$AL$13, IF(J82="Huyện Nhà Bè", Ward!$AM$2:$AN$8, IF(J82="Quận Phú Nhuận", Ward!$AO$2:$AP$16, IF(J82="Quận Tân Bình", Ward!$AQ$2:$AR$16, IF(J82="Quận Tân Phú", Ward!$AS$2:$AT$12, IF(J82="Quận Thủ Đức", Ward!$AU$2:$AV$13)))))))))))))))))))))))), 2, FALSE), "")</f>
        <v/>
      </c>
      <c r="Y82" s="20" t="str">
        <f>IF(B82 &lt;&gt; "", VLOOKUP(B82, HospitalType!$A$2:$B$9, 2, FALSE), "")</f>
        <v/>
      </c>
    </row>
    <row r="83" spans="1:25" x14ac:dyDescent="0.25">
      <c r="A83" s="34"/>
      <c r="B83" s="24"/>
      <c r="C83" s="24"/>
      <c r="D83" s="24"/>
      <c r="E83" s="24"/>
      <c r="F83" s="24"/>
      <c r="G83" s="25"/>
      <c r="H83" s="25"/>
      <c r="I83" s="25"/>
      <c r="J83" s="25"/>
      <c r="K83" s="25"/>
      <c r="L83" s="25"/>
      <c r="M83" s="25"/>
      <c r="N83" s="25"/>
      <c r="O83" s="25"/>
      <c r="P83" s="25"/>
      <c r="Q83" s="24"/>
      <c r="R83" s="26"/>
      <c r="S83" s="26"/>
      <c r="T83" s="26"/>
      <c r="U83" s="27"/>
      <c r="V83" s="20" t="str">
        <f>IF(I83 &lt;&gt; "", VLOOKUP(I83, City!$A$1:$B$2, 2, FALSE), "" )</f>
        <v/>
      </c>
      <c r="W83" s="20" t="str">
        <f>IF(J83 &lt;&gt; "", VLOOKUP(J83, District!$A$1:$B$25, 2, FALSE), "")</f>
        <v/>
      </c>
      <c r="X83" s="21" t="str">
        <f>IF(K83 &lt;&gt; "", VLOOKUP(K83, IF(J83="Quận 1", Ward!$A$2:$B$11, IF(J83="Quận 2", Ward!$C$2:$D$12, IF(J83="Quận 3", Ward!$E$2:$F$15, IF(J83="Quận 4", Ward!$G$2:$H$16, IF(J83="Quận 5", Ward!$I$2:$J$16, IF(J83="Quận 6", Ward!$K$2:$L$15, IF(J83="Quận 7", Ward!$M$2:$N$11, IF(J83="Quận 8", Ward!$O$2:$P$17, IF(J83="Quận 9", Ward!$Q$2:$R$14, IF(J83="Quận 10", Ward!$S$2:$T$16, IF(J83="Quận 11", Ward!$U$2:$V$17, IF(J83="Quận 12", Ward!$W$2:$X$12, IF(J83="Huyện Bình Chánh", Ward!$Y$2:$Z$17, IF(J83="Quận Bình Tân", Ward!$AA$2:$AB$11, IF(J83="Quận Bình Thạnh", Ward!$AC$2:$AD$21, IF(J83="Huyện Cần Giờ", Ward!$AE$2:$AF$8, IF(J83="Huyện Củ Chi", Ward!$AG$2:$AH$22, IF(J83="Quận Gò Vấp", Ward!$AI$2:$AJ$17, IF(J83="Huyện Hóc Môn", Ward!$AK$2:$AL$13, IF(J83="Huyện Nhà Bè", Ward!$AM$2:$AN$8, IF(J83="Quận Phú Nhuận", Ward!$AO$2:$AP$16, IF(J83="Quận Tân Bình", Ward!$AQ$2:$AR$16, IF(J83="Quận Tân Phú", Ward!$AS$2:$AT$12, IF(J83="Quận Thủ Đức", Ward!$AU$2:$AV$13)))))))))))))))))))))))), 2, FALSE), "")</f>
        <v/>
      </c>
      <c r="Y83" s="20" t="str">
        <f>IF(B83 &lt;&gt; "", VLOOKUP(B83, HospitalType!$A$2:$B$9, 2, FALSE), "")</f>
        <v/>
      </c>
    </row>
    <row r="84" spans="1:25" x14ac:dyDescent="0.25">
      <c r="A84" s="34"/>
      <c r="B84" s="24"/>
      <c r="C84" s="24"/>
      <c r="D84" s="24"/>
      <c r="E84" s="24"/>
      <c r="F84" s="24"/>
      <c r="G84" s="25"/>
      <c r="H84" s="25"/>
      <c r="I84" s="25"/>
      <c r="J84" s="25"/>
      <c r="K84" s="25"/>
      <c r="L84" s="25"/>
      <c r="M84" s="25"/>
      <c r="N84" s="25"/>
      <c r="O84" s="25"/>
      <c r="P84" s="25"/>
      <c r="Q84" s="24"/>
      <c r="R84" s="26"/>
      <c r="S84" s="26"/>
      <c r="T84" s="26"/>
      <c r="U84" s="27"/>
      <c r="V84" s="20" t="str">
        <f>IF(I84 &lt;&gt; "", VLOOKUP(I84, City!$A$1:$B$2, 2, FALSE), "" )</f>
        <v/>
      </c>
      <c r="W84" s="20" t="str">
        <f>IF(J84 &lt;&gt; "", VLOOKUP(J84, District!$A$1:$B$25, 2, FALSE), "")</f>
        <v/>
      </c>
      <c r="X84" s="21" t="str">
        <f>IF(K84 &lt;&gt; "", VLOOKUP(K84, IF(J84="Quận 1", Ward!$A$2:$B$11, IF(J84="Quận 2", Ward!$C$2:$D$12, IF(J84="Quận 3", Ward!$E$2:$F$15, IF(J84="Quận 4", Ward!$G$2:$H$16, IF(J84="Quận 5", Ward!$I$2:$J$16, IF(J84="Quận 6", Ward!$K$2:$L$15, IF(J84="Quận 7", Ward!$M$2:$N$11, IF(J84="Quận 8", Ward!$O$2:$P$17, IF(J84="Quận 9", Ward!$Q$2:$R$14, IF(J84="Quận 10", Ward!$S$2:$T$16, IF(J84="Quận 11", Ward!$U$2:$V$17, IF(J84="Quận 12", Ward!$W$2:$X$12, IF(J84="Huyện Bình Chánh", Ward!$Y$2:$Z$17, IF(J84="Quận Bình Tân", Ward!$AA$2:$AB$11, IF(J84="Quận Bình Thạnh", Ward!$AC$2:$AD$21, IF(J84="Huyện Cần Giờ", Ward!$AE$2:$AF$8, IF(J84="Huyện Củ Chi", Ward!$AG$2:$AH$22, IF(J84="Quận Gò Vấp", Ward!$AI$2:$AJ$17, IF(J84="Huyện Hóc Môn", Ward!$AK$2:$AL$13, IF(J84="Huyện Nhà Bè", Ward!$AM$2:$AN$8, IF(J84="Quận Phú Nhuận", Ward!$AO$2:$AP$16, IF(J84="Quận Tân Bình", Ward!$AQ$2:$AR$16, IF(J84="Quận Tân Phú", Ward!$AS$2:$AT$12, IF(J84="Quận Thủ Đức", Ward!$AU$2:$AV$13)))))))))))))))))))))))), 2, FALSE), "")</f>
        <v/>
      </c>
      <c r="Y84" s="20" t="str">
        <f>IF(B84 &lt;&gt; "", VLOOKUP(B84, HospitalType!$A$2:$B$9, 2, FALSE), "")</f>
        <v/>
      </c>
    </row>
    <row r="85" spans="1:25" x14ac:dyDescent="0.25">
      <c r="A85" s="34"/>
      <c r="B85" s="24"/>
      <c r="C85" s="24"/>
      <c r="D85" s="24"/>
      <c r="E85" s="24"/>
      <c r="F85" s="24"/>
      <c r="G85" s="25"/>
      <c r="H85" s="25"/>
      <c r="I85" s="25"/>
      <c r="J85" s="25"/>
      <c r="K85" s="25"/>
      <c r="L85" s="25"/>
      <c r="M85" s="25"/>
      <c r="N85" s="25"/>
      <c r="O85" s="25"/>
      <c r="P85" s="25"/>
      <c r="Q85" s="24"/>
      <c r="R85" s="26"/>
      <c r="S85" s="26"/>
      <c r="T85" s="26"/>
      <c r="U85" s="27"/>
      <c r="V85" s="20" t="str">
        <f>IF(I85 &lt;&gt; "", VLOOKUP(I85, City!$A$1:$B$2, 2, FALSE), "" )</f>
        <v/>
      </c>
      <c r="W85" s="20" t="str">
        <f>IF(J85 &lt;&gt; "", VLOOKUP(J85, District!$A$1:$B$25, 2, FALSE), "")</f>
        <v/>
      </c>
      <c r="X85" s="21" t="str">
        <f>IF(K85 &lt;&gt; "", VLOOKUP(K85, IF(J85="Quận 1", Ward!$A$2:$B$11, IF(J85="Quận 2", Ward!$C$2:$D$12, IF(J85="Quận 3", Ward!$E$2:$F$15, IF(J85="Quận 4", Ward!$G$2:$H$16, IF(J85="Quận 5", Ward!$I$2:$J$16, IF(J85="Quận 6", Ward!$K$2:$L$15, IF(J85="Quận 7", Ward!$M$2:$N$11, IF(J85="Quận 8", Ward!$O$2:$P$17, IF(J85="Quận 9", Ward!$Q$2:$R$14, IF(J85="Quận 10", Ward!$S$2:$T$16, IF(J85="Quận 11", Ward!$U$2:$V$17, IF(J85="Quận 12", Ward!$W$2:$X$12, IF(J85="Huyện Bình Chánh", Ward!$Y$2:$Z$17, IF(J85="Quận Bình Tân", Ward!$AA$2:$AB$11, IF(J85="Quận Bình Thạnh", Ward!$AC$2:$AD$21, IF(J85="Huyện Cần Giờ", Ward!$AE$2:$AF$8, IF(J85="Huyện Củ Chi", Ward!$AG$2:$AH$22, IF(J85="Quận Gò Vấp", Ward!$AI$2:$AJ$17, IF(J85="Huyện Hóc Môn", Ward!$AK$2:$AL$13, IF(J85="Huyện Nhà Bè", Ward!$AM$2:$AN$8, IF(J85="Quận Phú Nhuận", Ward!$AO$2:$AP$16, IF(J85="Quận Tân Bình", Ward!$AQ$2:$AR$16, IF(J85="Quận Tân Phú", Ward!$AS$2:$AT$12, IF(J85="Quận Thủ Đức", Ward!$AU$2:$AV$13)))))))))))))))))))))))), 2, FALSE), "")</f>
        <v/>
      </c>
      <c r="Y85" s="20" t="str">
        <f>IF(B85 &lt;&gt; "", VLOOKUP(B85, HospitalType!$A$2:$B$9, 2, FALSE), "")</f>
        <v/>
      </c>
    </row>
    <row r="86" spans="1:25" x14ac:dyDescent="0.25">
      <c r="A86" s="34"/>
      <c r="B86" s="24"/>
      <c r="C86" s="24"/>
      <c r="D86" s="24"/>
      <c r="E86" s="24"/>
      <c r="F86" s="24"/>
      <c r="G86" s="25"/>
      <c r="H86" s="25"/>
      <c r="I86" s="25"/>
      <c r="J86" s="25"/>
      <c r="K86" s="25"/>
      <c r="L86" s="25"/>
      <c r="M86" s="25"/>
      <c r="N86" s="25"/>
      <c r="O86" s="25"/>
      <c r="P86" s="25"/>
      <c r="Q86" s="24"/>
      <c r="R86" s="26"/>
      <c r="S86" s="26"/>
      <c r="T86" s="26"/>
      <c r="U86" s="27"/>
      <c r="V86" s="20" t="str">
        <f>IF(I86 &lt;&gt; "", VLOOKUP(I86, City!$A$1:$B$2, 2, FALSE), "" )</f>
        <v/>
      </c>
      <c r="W86" s="20" t="str">
        <f>IF(J86 &lt;&gt; "", VLOOKUP(J86, District!$A$1:$B$25, 2, FALSE), "")</f>
        <v/>
      </c>
      <c r="X86" s="21" t="str">
        <f>IF(K86 &lt;&gt; "", VLOOKUP(K86, IF(J86="Quận 1", Ward!$A$2:$B$11, IF(J86="Quận 2", Ward!$C$2:$D$12, IF(J86="Quận 3", Ward!$E$2:$F$15, IF(J86="Quận 4", Ward!$G$2:$H$16, IF(J86="Quận 5", Ward!$I$2:$J$16, IF(J86="Quận 6", Ward!$K$2:$L$15, IF(J86="Quận 7", Ward!$M$2:$N$11, IF(J86="Quận 8", Ward!$O$2:$P$17, IF(J86="Quận 9", Ward!$Q$2:$R$14, IF(J86="Quận 10", Ward!$S$2:$T$16, IF(J86="Quận 11", Ward!$U$2:$V$17, IF(J86="Quận 12", Ward!$W$2:$X$12, IF(J86="Huyện Bình Chánh", Ward!$Y$2:$Z$17, IF(J86="Quận Bình Tân", Ward!$AA$2:$AB$11, IF(J86="Quận Bình Thạnh", Ward!$AC$2:$AD$21, IF(J86="Huyện Cần Giờ", Ward!$AE$2:$AF$8, IF(J86="Huyện Củ Chi", Ward!$AG$2:$AH$22, IF(J86="Quận Gò Vấp", Ward!$AI$2:$AJ$17, IF(J86="Huyện Hóc Môn", Ward!$AK$2:$AL$13, IF(J86="Huyện Nhà Bè", Ward!$AM$2:$AN$8, IF(J86="Quận Phú Nhuận", Ward!$AO$2:$AP$16, IF(J86="Quận Tân Bình", Ward!$AQ$2:$AR$16, IF(J86="Quận Tân Phú", Ward!$AS$2:$AT$12, IF(J86="Quận Thủ Đức", Ward!$AU$2:$AV$13)))))))))))))))))))))))), 2, FALSE), "")</f>
        <v/>
      </c>
      <c r="Y86" s="20" t="str">
        <f>IF(B86 &lt;&gt; "", VLOOKUP(B86, HospitalType!$A$2:$B$9, 2, FALSE), "")</f>
        <v/>
      </c>
    </row>
    <row r="87" spans="1:25" x14ac:dyDescent="0.25">
      <c r="A87" s="34"/>
      <c r="B87" s="24"/>
      <c r="C87" s="24"/>
      <c r="D87" s="24"/>
      <c r="E87" s="24"/>
      <c r="F87" s="24"/>
      <c r="G87" s="25"/>
      <c r="H87" s="25"/>
      <c r="I87" s="25"/>
      <c r="J87" s="25"/>
      <c r="K87" s="25"/>
      <c r="L87" s="25"/>
      <c r="M87" s="25"/>
      <c r="N87" s="25"/>
      <c r="O87" s="25"/>
      <c r="P87" s="25"/>
      <c r="Q87" s="24"/>
      <c r="R87" s="26"/>
      <c r="S87" s="26"/>
      <c r="T87" s="26"/>
      <c r="U87" s="27"/>
      <c r="V87" s="20" t="str">
        <f>IF(I87 &lt;&gt; "", VLOOKUP(I87, City!$A$1:$B$2, 2, FALSE), "" )</f>
        <v/>
      </c>
      <c r="W87" s="20" t="str">
        <f>IF(J87 &lt;&gt; "", VLOOKUP(J87, District!$A$1:$B$25, 2, FALSE), "")</f>
        <v/>
      </c>
      <c r="X87" s="21" t="str">
        <f>IF(K87 &lt;&gt; "", VLOOKUP(K87, IF(J87="Quận 1", Ward!$A$2:$B$11, IF(J87="Quận 2", Ward!$C$2:$D$12, IF(J87="Quận 3", Ward!$E$2:$F$15, IF(J87="Quận 4", Ward!$G$2:$H$16, IF(J87="Quận 5", Ward!$I$2:$J$16, IF(J87="Quận 6", Ward!$K$2:$L$15, IF(J87="Quận 7", Ward!$M$2:$N$11, IF(J87="Quận 8", Ward!$O$2:$P$17, IF(J87="Quận 9", Ward!$Q$2:$R$14, IF(J87="Quận 10", Ward!$S$2:$T$16, IF(J87="Quận 11", Ward!$U$2:$V$17, IF(J87="Quận 12", Ward!$W$2:$X$12, IF(J87="Huyện Bình Chánh", Ward!$Y$2:$Z$17, IF(J87="Quận Bình Tân", Ward!$AA$2:$AB$11, IF(J87="Quận Bình Thạnh", Ward!$AC$2:$AD$21, IF(J87="Huyện Cần Giờ", Ward!$AE$2:$AF$8, IF(J87="Huyện Củ Chi", Ward!$AG$2:$AH$22, IF(J87="Quận Gò Vấp", Ward!$AI$2:$AJ$17, IF(J87="Huyện Hóc Môn", Ward!$AK$2:$AL$13, IF(J87="Huyện Nhà Bè", Ward!$AM$2:$AN$8, IF(J87="Quận Phú Nhuận", Ward!$AO$2:$AP$16, IF(J87="Quận Tân Bình", Ward!$AQ$2:$AR$16, IF(J87="Quận Tân Phú", Ward!$AS$2:$AT$12, IF(J87="Quận Thủ Đức", Ward!$AU$2:$AV$13)))))))))))))))))))))))), 2, FALSE), "")</f>
        <v/>
      </c>
      <c r="Y87" s="20" t="str">
        <f>IF(B87 &lt;&gt; "", VLOOKUP(B87, HospitalType!$A$2:$B$9, 2, FALSE), "")</f>
        <v/>
      </c>
    </row>
    <row r="88" spans="1:25" x14ac:dyDescent="0.25">
      <c r="A88" s="34"/>
      <c r="B88" s="24"/>
      <c r="C88" s="24"/>
      <c r="D88" s="24"/>
      <c r="E88" s="24"/>
      <c r="F88" s="24"/>
      <c r="G88" s="25"/>
      <c r="H88" s="25"/>
      <c r="I88" s="25"/>
      <c r="J88" s="25"/>
      <c r="K88" s="25"/>
      <c r="L88" s="25"/>
      <c r="M88" s="25"/>
      <c r="N88" s="25"/>
      <c r="O88" s="25"/>
      <c r="P88" s="25"/>
      <c r="Q88" s="24"/>
      <c r="R88" s="26"/>
      <c r="S88" s="26"/>
      <c r="T88" s="26"/>
      <c r="U88" s="27"/>
      <c r="V88" s="20" t="str">
        <f>IF(I88 &lt;&gt; "", VLOOKUP(I88, City!$A$1:$B$2, 2, FALSE), "" )</f>
        <v/>
      </c>
      <c r="W88" s="20" t="str">
        <f>IF(J88 &lt;&gt; "", VLOOKUP(J88, District!$A$1:$B$25, 2, FALSE), "")</f>
        <v/>
      </c>
      <c r="X88" s="21" t="str">
        <f>IF(K88 &lt;&gt; "", VLOOKUP(K88, IF(J88="Quận 1", Ward!$A$2:$B$11, IF(J88="Quận 2", Ward!$C$2:$D$12, IF(J88="Quận 3", Ward!$E$2:$F$15, IF(J88="Quận 4", Ward!$G$2:$H$16, IF(J88="Quận 5", Ward!$I$2:$J$16, IF(J88="Quận 6", Ward!$K$2:$L$15, IF(J88="Quận 7", Ward!$M$2:$N$11, IF(J88="Quận 8", Ward!$O$2:$P$17, IF(J88="Quận 9", Ward!$Q$2:$R$14, IF(J88="Quận 10", Ward!$S$2:$T$16, IF(J88="Quận 11", Ward!$U$2:$V$17, IF(J88="Quận 12", Ward!$W$2:$X$12, IF(J88="Huyện Bình Chánh", Ward!$Y$2:$Z$17, IF(J88="Quận Bình Tân", Ward!$AA$2:$AB$11, IF(J88="Quận Bình Thạnh", Ward!$AC$2:$AD$21, IF(J88="Huyện Cần Giờ", Ward!$AE$2:$AF$8, IF(J88="Huyện Củ Chi", Ward!$AG$2:$AH$22, IF(J88="Quận Gò Vấp", Ward!$AI$2:$AJ$17, IF(J88="Huyện Hóc Môn", Ward!$AK$2:$AL$13, IF(J88="Huyện Nhà Bè", Ward!$AM$2:$AN$8, IF(J88="Quận Phú Nhuận", Ward!$AO$2:$AP$16, IF(J88="Quận Tân Bình", Ward!$AQ$2:$AR$16, IF(J88="Quận Tân Phú", Ward!$AS$2:$AT$12, IF(J88="Quận Thủ Đức", Ward!$AU$2:$AV$13)))))))))))))))))))))))), 2, FALSE), "")</f>
        <v/>
      </c>
      <c r="Y88" s="20" t="str">
        <f>IF(B88 &lt;&gt; "", VLOOKUP(B88, HospitalType!$A$2:$B$9, 2, FALSE), "")</f>
        <v/>
      </c>
    </row>
    <row r="89" spans="1:25" x14ac:dyDescent="0.25">
      <c r="A89" s="34"/>
      <c r="B89" s="24"/>
      <c r="C89" s="24"/>
      <c r="D89" s="24"/>
      <c r="E89" s="24"/>
      <c r="F89" s="24"/>
      <c r="G89" s="25"/>
      <c r="H89" s="25"/>
      <c r="I89" s="25"/>
      <c r="J89" s="25"/>
      <c r="K89" s="25"/>
      <c r="L89" s="25"/>
      <c r="M89" s="25"/>
      <c r="N89" s="25"/>
      <c r="O89" s="25"/>
      <c r="P89" s="25"/>
      <c r="Q89" s="24"/>
      <c r="R89" s="26"/>
      <c r="S89" s="26"/>
      <c r="T89" s="26"/>
      <c r="U89" s="27"/>
      <c r="V89" s="20" t="str">
        <f>IF(I89 &lt;&gt; "", VLOOKUP(I89, City!$A$1:$B$2, 2, FALSE), "" )</f>
        <v/>
      </c>
      <c r="W89" s="20" t="str">
        <f>IF(J89 &lt;&gt; "", VLOOKUP(J89, District!$A$1:$B$25, 2, FALSE), "")</f>
        <v/>
      </c>
      <c r="X89" s="21" t="str">
        <f>IF(K89 &lt;&gt; "", VLOOKUP(K89, IF(J89="Quận 1", Ward!$A$2:$B$11, IF(J89="Quận 2", Ward!$C$2:$D$12, IF(J89="Quận 3", Ward!$E$2:$F$15, IF(J89="Quận 4", Ward!$G$2:$H$16, IF(J89="Quận 5", Ward!$I$2:$J$16, IF(J89="Quận 6", Ward!$K$2:$L$15, IF(J89="Quận 7", Ward!$M$2:$N$11, IF(J89="Quận 8", Ward!$O$2:$P$17, IF(J89="Quận 9", Ward!$Q$2:$R$14, IF(J89="Quận 10", Ward!$S$2:$T$16, IF(J89="Quận 11", Ward!$U$2:$V$17, IF(J89="Quận 12", Ward!$W$2:$X$12, IF(J89="Huyện Bình Chánh", Ward!$Y$2:$Z$17, IF(J89="Quận Bình Tân", Ward!$AA$2:$AB$11, IF(J89="Quận Bình Thạnh", Ward!$AC$2:$AD$21, IF(J89="Huyện Cần Giờ", Ward!$AE$2:$AF$8, IF(J89="Huyện Củ Chi", Ward!$AG$2:$AH$22, IF(J89="Quận Gò Vấp", Ward!$AI$2:$AJ$17, IF(J89="Huyện Hóc Môn", Ward!$AK$2:$AL$13, IF(J89="Huyện Nhà Bè", Ward!$AM$2:$AN$8, IF(J89="Quận Phú Nhuận", Ward!$AO$2:$AP$16, IF(J89="Quận Tân Bình", Ward!$AQ$2:$AR$16, IF(J89="Quận Tân Phú", Ward!$AS$2:$AT$12, IF(J89="Quận Thủ Đức", Ward!$AU$2:$AV$13)))))))))))))))))))))))), 2, FALSE), "")</f>
        <v/>
      </c>
      <c r="Y89" s="20" t="str">
        <f>IF(B89 &lt;&gt; "", VLOOKUP(B89, HospitalType!$A$2:$B$9, 2, FALSE), "")</f>
        <v/>
      </c>
    </row>
    <row r="90" spans="1:25" x14ac:dyDescent="0.25">
      <c r="A90" s="34"/>
      <c r="B90" s="24"/>
      <c r="C90" s="24"/>
      <c r="D90" s="24"/>
      <c r="E90" s="24"/>
      <c r="F90" s="24"/>
      <c r="G90" s="25"/>
      <c r="H90" s="25"/>
      <c r="I90" s="25"/>
      <c r="J90" s="25"/>
      <c r="K90" s="25"/>
      <c r="L90" s="25"/>
      <c r="M90" s="25"/>
      <c r="N90" s="25"/>
      <c r="O90" s="25"/>
      <c r="P90" s="25"/>
      <c r="Q90" s="24"/>
      <c r="R90" s="26"/>
      <c r="S90" s="26"/>
      <c r="T90" s="26"/>
      <c r="U90" s="27"/>
      <c r="V90" s="20" t="str">
        <f>IF(I90 &lt;&gt; "", VLOOKUP(I90, City!$A$1:$B$2, 2, FALSE), "" )</f>
        <v/>
      </c>
      <c r="W90" s="20" t="str">
        <f>IF(J90 &lt;&gt; "", VLOOKUP(J90, District!$A$1:$B$25, 2, FALSE), "")</f>
        <v/>
      </c>
      <c r="X90" s="21" t="str">
        <f>IF(K90 &lt;&gt; "", VLOOKUP(K90, IF(J90="Quận 1", Ward!$A$2:$B$11, IF(J90="Quận 2", Ward!$C$2:$D$12, IF(J90="Quận 3", Ward!$E$2:$F$15, IF(J90="Quận 4", Ward!$G$2:$H$16, IF(J90="Quận 5", Ward!$I$2:$J$16, IF(J90="Quận 6", Ward!$K$2:$L$15, IF(J90="Quận 7", Ward!$M$2:$N$11, IF(J90="Quận 8", Ward!$O$2:$P$17, IF(J90="Quận 9", Ward!$Q$2:$R$14, IF(J90="Quận 10", Ward!$S$2:$T$16, IF(J90="Quận 11", Ward!$U$2:$V$17, IF(J90="Quận 12", Ward!$W$2:$X$12, IF(J90="Huyện Bình Chánh", Ward!$Y$2:$Z$17, IF(J90="Quận Bình Tân", Ward!$AA$2:$AB$11, IF(J90="Quận Bình Thạnh", Ward!$AC$2:$AD$21, IF(J90="Huyện Cần Giờ", Ward!$AE$2:$AF$8, IF(J90="Huyện Củ Chi", Ward!$AG$2:$AH$22, IF(J90="Quận Gò Vấp", Ward!$AI$2:$AJ$17, IF(J90="Huyện Hóc Môn", Ward!$AK$2:$AL$13, IF(J90="Huyện Nhà Bè", Ward!$AM$2:$AN$8, IF(J90="Quận Phú Nhuận", Ward!$AO$2:$AP$16, IF(J90="Quận Tân Bình", Ward!$AQ$2:$AR$16, IF(J90="Quận Tân Phú", Ward!$AS$2:$AT$12, IF(J90="Quận Thủ Đức", Ward!$AU$2:$AV$13)))))))))))))))))))))))), 2, FALSE), "")</f>
        <v/>
      </c>
      <c r="Y90" s="20" t="str">
        <f>IF(B90 &lt;&gt; "", VLOOKUP(B90, HospitalType!$A$2:$B$9, 2, FALSE), "")</f>
        <v/>
      </c>
    </row>
    <row r="91" spans="1:25" x14ac:dyDescent="0.25">
      <c r="A91" s="34"/>
      <c r="B91" s="24"/>
      <c r="C91" s="24"/>
      <c r="D91" s="24"/>
      <c r="E91" s="24"/>
      <c r="F91" s="24"/>
      <c r="G91" s="25"/>
      <c r="H91" s="25"/>
      <c r="I91" s="25"/>
      <c r="J91" s="25"/>
      <c r="K91" s="25"/>
      <c r="L91" s="25"/>
      <c r="M91" s="25"/>
      <c r="N91" s="25"/>
      <c r="O91" s="25"/>
      <c r="P91" s="25"/>
      <c r="Q91" s="24"/>
      <c r="R91" s="26"/>
      <c r="S91" s="26"/>
      <c r="T91" s="26"/>
      <c r="U91" s="27"/>
      <c r="V91" s="20" t="str">
        <f>IF(I91 &lt;&gt; "", VLOOKUP(I91, City!$A$1:$B$2, 2, FALSE), "" )</f>
        <v/>
      </c>
      <c r="W91" s="20" t="str">
        <f>IF(J91 &lt;&gt; "", VLOOKUP(J91, District!$A$1:$B$25, 2, FALSE), "")</f>
        <v/>
      </c>
      <c r="X91" s="21" t="str">
        <f>IF(K91 &lt;&gt; "", VLOOKUP(K91, IF(J91="Quận 1", Ward!$A$2:$B$11, IF(J91="Quận 2", Ward!$C$2:$D$12, IF(J91="Quận 3", Ward!$E$2:$F$15, IF(J91="Quận 4", Ward!$G$2:$H$16, IF(J91="Quận 5", Ward!$I$2:$J$16, IF(J91="Quận 6", Ward!$K$2:$L$15, IF(J91="Quận 7", Ward!$M$2:$N$11, IF(J91="Quận 8", Ward!$O$2:$P$17, IF(J91="Quận 9", Ward!$Q$2:$R$14, IF(J91="Quận 10", Ward!$S$2:$T$16, IF(J91="Quận 11", Ward!$U$2:$V$17, IF(J91="Quận 12", Ward!$W$2:$X$12, IF(J91="Huyện Bình Chánh", Ward!$Y$2:$Z$17, IF(J91="Quận Bình Tân", Ward!$AA$2:$AB$11, IF(J91="Quận Bình Thạnh", Ward!$AC$2:$AD$21, IF(J91="Huyện Cần Giờ", Ward!$AE$2:$AF$8, IF(J91="Huyện Củ Chi", Ward!$AG$2:$AH$22, IF(J91="Quận Gò Vấp", Ward!$AI$2:$AJ$17, IF(J91="Huyện Hóc Môn", Ward!$AK$2:$AL$13, IF(J91="Huyện Nhà Bè", Ward!$AM$2:$AN$8, IF(J91="Quận Phú Nhuận", Ward!$AO$2:$AP$16, IF(J91="Quận Tân Bình", Ward!$AQ$2:$AR$16, IF(J91="Quận Tân Phú", Ward!$AS$2:$AT$12, IF(J91="Quận Thủ Đức", Ward!$AU$2:$AV$13)))))))))))))))))))))))), 2, FALSE), "")</f>
        <v/>
      </c>
      <c r="Y91" s="20" t="str">
        <f>IF(B91 &lt;&gt; "", VLOOKUP(B91, HospitalType!$A$2:$B$9, 2, FALSE), "")</f>
        <v/>
      </c>
    </row>
    <row r="92" spans="1:25" x14ac:dyDescent="0.25">
      <c r="A92" s="34"/>
      <c r="B92" s="24"/>
      <c r="C92" s="24"/>
      <c r="D92" s="24"/>
      <c r="E92" s="24"/>
      <c r="F92" s="24"/>
      <c r="G92" s="25"/>
      <c r="H92" s="25"/>
      <c r="I92" s="25"/>
      <c r="J92" s="25"/>
      <c r="K92" s="25"/>
      <c r="L92" s="25"/>
      <c r="M92" s="25"/>
      <c r="N92" s="25"/>
      <c r="O92" s="25"/>
      <c r="P92" s="25"/>
      <c r="Q92" s="24"/>
      <c r="R92" s="26"/>
      <c r="S92" s="26"/>
      <c r="T92" s="26"/>
      <c r="U92" s="27"/>
      <c r="V92" s="20" t="str">
        <f>IF(I92 &lt;&gt; "", VLOOKUP(I92, City!$A$1:$B$2, 2, FALSE), "" )</f>
        <v/>
      </c>
      <c r="W92" s="20" t="str">
        <f>IF(J92 &lt;&gt; "", VLOOKUP(J92, District!$A$1:$B$25, 2, FALSE), "")</f>
        <v/>
      </c>
      <c r="X92" s="21" t="str">
        <f>IF(K92 &lt;&gt; "", VLOOKUP(K92, IF(J92="Quận 1", Ward!$A$2:$B$11, IF(J92="Quận 2", Ward!$C$2:$D$12, IF(J92="Quận 3", Ward!$E$2:$F$15, IF(J92="Quận 4", Ward!$G$2:$H$16, IF(J92="Quận 5", Ward!$I$2:$J$16, IF(J92="Quận 6", Ward!$K$2:$L$15, IF(J92="Quận 7", Ward!$M$2:$N$11, IF(J92="Quận 8", Ward!$O$2:$P$17, IF(J92="Quận 9", Ward!$Q$2:$R$14, IF(J92="Quận 10", Ward!$S$2:$T$16, IF(J92="Quận 11", Ward!$U$2:$V$17, IF(J92="Quận 12", Ward!$W$2:$X$12, IF(J92="Huyện Bình Chánh", Ward!$Y$2:$Z$17, IF(J92="Quận Bình Tân", Ward!$AA$2:$AB$11, IF(J92="Quận Bình Thạnh", Ward!$AC$2:$AD$21, IF(J92="Huyện Cần Giờ", Ward!$AE$2:$AF$8, IF(J92="Huyện Củ Chi", Ward!$AG$2:$AH$22, IF(J92="Quận Gò Vấp", Ward!$AI$2:$AJ$17, IF(J92="Huyện Hóc Môn", Ward!$AK$2:$AL$13, IF(J92="Huyện Nhà Bè", Ward!$AM$2:$AN$8, IF(J92="Quận Phú Nhuận", Ward!$AO$2:$AP$16, IF(J92="Quận Tân Bình", Ward!$AQ$2:$AR$16, IF(J92="Quận Tân Phú", Ward!$AS$2:$AT$12, IF(J92="Quận Thủ Đức", Ward!$AU$2:$AV$13)))))))))))))))))))))))), 2, FALSE), "")</f>
        <v/>
      </c>
      <c r="Y92" s="20" t="str">
        <f>IF(B92 &lt;&gt; "", VLOOKUP(B92, HospitalType!$A$2:$B$9, 2, FALSE), "")</f>
        <v/>
      </c>
    </row>
    <row r="93" spans="1:25" x14ac:dyDescent="0.25">
      <c r="A93" s="34"/>
      <c r="B93" s="24"/>
      <c r="C93" s="24"/>
      <c r="D93" s="24"/>
      <c r="E93" s="24"/>
      <c r="F93" s="24"/>
      <c r="G93" s="25"/>
      <c r="H93" s="25"/>
      <c r="I93" s="25"/>
      <c r="J93" s="25"/>
      <c r="K93" s="25"/>
      <c r="L93" s="25"/>
      <c r="M93" s="25"/>
      <c r="N93" s="25"/>
      <c r="O93" s="25"/>
      <c r="P93" s="25"/>
      <c r="Q93" s="24"/>
      <c r="R93" s="26"/>
      <c r="S93" s="26"/>
      <c r="T93" s="26"/>
      <c r="U93" s="27"/>
      <c r="V93" s="20" t="str">
        <f>IF(I93 &lt;&gt; "", VLOOKUP(I93, City!$A$1:$B$2, 2, FALSE), "" )</f>
        <v/>
      </c>
      <c r="W93" s="20" t="str">
        <f>IF(J93 &lt;&gt; "", VLOOKUP(J93, District!$A$1:$B$25, 2, FALSE), "")</f>
        <v/>
      </c>
      <c r="X93" s="21" t="str">
        <f>IF(K93 &lt;&gt; "", VLOOKUP(K93, IF(J93="Quận 1", Ward!$A$2:$B$11, IF(J93="Quận 2", Ward!$C$2:$D$12, IF(J93="Quận 3", Ward!$E$2:$F$15, IF(J93="Quận 4", Ward!$G$2:$H$16, IF(J93="Quận 5", Ward!$I$2:$J$16, IF(J93="Quận 6", Ward!$K$2:$L$15, IF(J93="Quận 7", Ward!$M$2:$N$11, IF(J93="Quận 8", Ward!$O$2:$P$17, IF(J93="Quận 9", Ward!$Q$2:$R$14, IF(J93="Quận 10", Ward!$S$2:$T$16, IF(J93="Quận 11", Ward!$U$2:$V$17, IF(J93="Quận 12", Ward!$W$2:$X$12, IF(J93="Huyện Bình Chánh", Ward!$Y$2:$Z$17, IF(J93="Quận Bình Tân", Ward!$AA$2:$AB$11, IF(J93="Quận Bình Thạnh", Ward!$AC$2:$AD$21, IF(J93="Huyện Cần Giờ", Ward!$AE$2:$AF$8, IF(J93="Huyện Củ Chi", Ward!$AG$2:$AH$22, IF(J93="Quận Gò Vấp", Ward!$AI$2:$AJ$17, IF(J93="Huyện Hóc Môn", Ward!$AK$2:$AL$13, IF(J93="Huyện Nhà Bè", Ward!$AM$2:$AN$8, IF(J93="Quận Phú Nhuận", Ward!$AO$2:$AP$16, IF(J93="Quận Tân Bình", Ward!$AQ$2:$AR$16, IF(J93="Quận Tân Phú", Ward!$AS$2:$AT$12, IF(J93="Quận Thủ Đức", Ward!$AU$2:$AV$13)))))))))))))))))))))))), 2, FALSE), "")</f>
        <v/>
      </c>
      <c r="Y93" s="20" t="str">
        <f>IF(B93 &lt;&gt; "", VLOOKUP(B93, HospitalType!$A$2:$B$9, 2, FALSE), "")</f>
        <v/>
      </c>
    </row>
    <row r="94" spans="1:25" x14ac:dyDescent="0.25">
      <c r="A94" s="34"/>
      <c r="B94" s="24"/>
      <c r="C94" s="24"/>
      <c r="D94" s="24"/>
      <c r="E94" s="24"/>
      <c r="F94" s="24"/>
      <c r="G94" s="25"/>
      <c r="H94" s="25"/>
      <c r="I94" s="25"/>
      <c r="J94" s="25"/>
      <c r="K94" s="25"/>
      <c r="L94" s="25"/>
      <c r="M94" s="25"/>
      <c r="N94" s="25"/>
      <c r="O94" s="25"/>
      <c r="P94" s="25"/>
      <c r="Q94" s="24"/>
      <c r="R94" s="26"/>
      <c r="S94" s="26"/>
      <c r="T94" s="26"/>
      <c r="U94" s="27"/>
      <c r="V94" s="20" t="str">
        <f>IF(I94 &lt;&gt; "", VLOOKUP(I94, City!$A$1:$B$2, 2, FALSE), "" )</f>
        <v/>
      </c>
      <c r="W94" s="20" t="str">
        <f>IF(J94 &lt;&gt; "", VLOOKUP(J94, District!$A$1:$B$25, 2, FALSE), "")</f>
        <v/>
      </c>
      <c r="X94" s="21" t="str">
        <f>IF(K94 &lt;&gt; "", VLOOKUP(K94, IF(J94="Quận 1", Ward!$A$2:$B$11, IF(J94="Quận 2", Ward!$C$2:$D$12, IF(J94="Quận 3", Ward!$E$2:$F$15, IF(J94="Quận 4", Ward!$G$2:$H$16, IF(J94="Quận 5", Ward!$I$2:$J$16, IF(J94="Quận 6", Ward!$K$2:$L$15, IF(J94="Quận 7", Ward!$M$2:$N$11, IF(J94="Quận 8", Ward!$O$2:$P$17, IF(J94="Quận 9", Ward!$Q$2:$R$14, IF(J94="Quận 10", Ward!$S$2:$T$16, IF(J94="Quận 11", Ward!$U$2:$V$17, IF(J94="Quận 12", Ward!$W$2:$X$12, IF(J94="Huyện Bình Chánh", Ward!$Y$2:$Z$17, IF(J94="Quận Bình Tân", Ward!$AA$2:$AB$11, IF(J94="Quận Bình Thạnh", Ward!$AC$2:$AD$21, IF(J94="Huyện Cần Giờ", Ward!$AE$2:$AF$8, IF(J94="Huyện Củ Chi", Ward!$AG$2:$AH$22, IF(J94="Quận Gò Vấp", Ward!$AI$2:$AJ$17, IF(J94="Huyện Hóc Môn", Ward!$AK$2:$AL$13, IF(J94="Huyện Nhà Bè", Ward!$AM$2:$AN$8, IF(J94="Quận Phú Nhuận", Ward!$AO$2:$AP$16, IF(J94="Quận Tân Bình", Ward!$AQ$2:$AR$16, IF(J94="Quận Tân Phú", Ward!$AS$2:$AT$12, IF(J94="Quận Thủ Đức", Ward!$AU$2:$AV$13)))))))))))))))))))))))), 2, FALSE), "")</f>
        <v/>
      </c>
      <c r="Y94" s="20" t="str">
        <f>IF(B94 &lt;&gt; "", VLOOKUP(B94, HospitalType!$A$2:$B$9, 2, FALSE), "")</f>
        <v/>
      </c>
    </row>
    <row r="95" spans="1:25" x14ac:dyDescent="0.25">
      <c r="A95" s="34"/>
      <c r="B95" s="24"/>
      <c r="C95" s="24"/>
      <c r="D95" s="24"/>
      <c r="E95" s="24"/>
      <c r="F95" s="24"/>
      <c r="G95" s="25"/>
      <c r="H95" s="25"/>
      <c r="I95" s="25"/>
      <c r="J95" s="25"/>
      <c r="K95" s="25"/>
      <c r="L95" s="25"/>
      <c r="M95" s="25"/>
      <c r="N95" s="25"/>
      <c r="O95" s="25"/>
      <c r="P95" s="25"/>
      <c r="Q95" s="24"/>
      <c r="R95" s="26"/>
      <c r="S95" s="26"/>
      <c r="T95" s="26"/>
      <c r="U95" s="27"/>
      <c r="V95" s="20" t="str">
        <f>IF(I95 &lt;&gt; "", VLOOKUP(I95, City!$A$1:$B$2, 2, FALSE), "" )</f>
        <v/>
      </c>
      <c r="W95" s="20" t="str">
        <f>IF(J95 &lt;&gt; "", VLOOKUP(J95, District!$A$1:$B$25, 2, FALSE), "")</f>
        <v/>
      </c>
      <c r="X95" s="21" t="str">
        <f>IF(K95 &lt;&gt; "", VLOOKUP(K95, IF(J95="Quận 1", Ward!$A$2:$B$11, IF(J95="Quận 2", Ward!$C$2:$D$12, IF(J95="Quận 3", Ward!$E$2:$F$15, IF(J95="Quận 4", Ward!$G$2:$H$16, IF(J95="Quận 5", Ward!$I$2:$J$16, IF(J95="Quận 6", Ward!$K$2:$L$15, IF(J95="Quận 7", Ward!$M$2:$N$11, IF(J95="Quận 8", Ward!$O$2:$P$17, IF(J95="Quận 9", Ward!$Q$2:$R$14, IF(J95="Quận 10", Ward!$S$2:$T$16, IF(J95="Quận 11", Ward!$U$2:$V$17, IF(J95="Quận 12", Ward!$W$2:$X$12, IF(J95="Huyện Bình Chánh", Ward!$Y$2:$Z$17, IF(J95="Quận Bình Tân", Ward!$AA$2:$AB$11, IF(J95="Quận Bình Thạnh", Ward!$AC$2:$AD$21, IF(J95="Huyện Cần Giờ", Ward!$AE$2:$AF$8, IF(J95="Huyện Củ Chi", Ward!$AG$2:$AH$22, IF(J95="Quận Gò Vấp", Ward!$AI$2:$AJ$17, IF(J95="Huyện Hóc Môn", Ward!$AK$2:$AL$13, IF(J95="Huyện Nhà Bè", Ward!$AM$2:$AN$8, IF(J95="Quận Phú Nhuận", Ward!$AO$2:$AP$16, IF(J95="Quận Tân Bình", Ward!$AQ$2:$AR$16, IF(J95="Quận Tân Phú", Ward!$AS$2:$AT$12, IF(J95="Quận Thủ Đức", Ward!$AU$2:$AV$13)))))))))))))))))))))))), 2, FALSE), "")</f>
        <v/>
      </c>
      <c r="Y95" s="20" t="str">
        <f>IF(B95 &lt;&gt; "", VLOOKUP(B95, HospitalType!$A$2:$B$9, 2, FALSE), "")</f>
        <v/>
      </c>
    </row>
    <row r="96" spans="1:25" x14ac:dyDescent="0.25">
      <c r="A96" s="34"/>
      <c r="B96" s="24"/>
      <c r="C96" s="24"/>
      <c r="D96" s="24"/>
      <c r="E96" s="24"/>
      <c r="F96" s="24"/>
      <c r="G96" s="25"/>
      <c r="H96" s="25"/>
      <c r="I96" s="25"/>
      <c r="J96" s="25"/>
      <c r="K96" s="25"/>
      <c r="L96" s="25"/>
      <c r="M96" s="25"/>
      <c r="N96" s="25"/>
      <c r="O96" s="25"/>
      <c r="P96" s="25"/>
      <c r="Q96" s="24"/>
      <c r="R96" s="26"/>
      <c r="S96" s="26"/>
      <c r="T96" s="26"/>
      <c r="U96" s="27"/>
      <c r="V96" s="20" t="str">
        <f>IF(I96 &lt;&gt; "", VLOOKUP(I96, City!$A$1:$B$2, 2, FALSE), "" )</f>
        <v/>
      </c>
      <c r="W96" s="20" t="str">
        <f>IF(J96 &lt;&gt; "", VLOOKUP(J96, District!$A$1:$B$25, 2, FALSE), "")</f>
        <v/>
      </c>
      <c r="X96" s="21" t="str">
        <f>IF(K96 &lt;&gt; "", VLOOKUP(K96, IF(J96="Quận 1", Ward!$A$2:$B$11, IF(J96="Quận 2", Ward!$C$2:$D$12, IF(J96="Quận 3", Ward!$E$2:$F$15, IF(J96="Quận 4", Ward!$G$2:$H$16, IF(J96="Quận 5", Ward!$I$2:$J$16, IF(J96="Quận 6", Ward!$K$2:$L$15, IF(J96="Quận 7", Ward!$M$2:$N$11, IF(J96="Quận 8", Ward!$O$2:$P$17, IF(J96="Quận 9", Ward!$Q$2:$R$14, IF(J96="Quận 10", Ward!$S$2:$T$16, IF(J96="Quận 11", Ward!$U$2:$V$17, IF(J96="Quận 12", Ward!$W$2:$X$12, IF(J96="Huyện Bình Chánh", Ward!$Y$2:$Z$17, IF(J96="Quận Bình Tân", Ward!$AA$2:$AB$11, IF(J96="Quận Bình Thạnh", Ward!$AC$2:$AD$21, IF(J96="Huyện Cần Giờ", Ward!$AE$2:$AF$8, IF(J96="Huyện Củ Chi", Ward!$AG$2:$AH$22, IF(J96="Quận Gò Vấp", Ward!$AI$2:$AJ$17, IF(J96="Huyện Hóc Môn", Ward!$AK$2:$AL$13, IF(J96="Huyện Nhà Bè", Ward!$AM$2:$AN$8, IF(J96="Quận Phú Nhuận", Ward!$AO$2:$AP$16, IF(J96="Quận Tân Bình", Ward!$AQ$2:$AR$16, IF(J96="Quận Tân Phú", Ward!$AS$2:$AT$12, IF(J96="Quận Thủ Đức", Ward!$AU$2:$AV$13)))))))))))))))))))))))), 2, FALSE), "")</f>
        <v/>
      </c>
      <c r="Y96" s="20" t="str">
        <f>IF(B96 &lt;&gt; "", VLOOKUP(B96, HospitalType!$A$2:$B$9, 2, FALSE), "")</f>
        <v/>
      </c>
    </row>
    <row r="97" spans="1:25" x14ac:dyDescent="0.25">
      <c r="A97" s="34"/>
      <c r="B97" s="24"/>
      <c r="C97" s="24"/>
      <c r="D97" s="24"/>
      <c r="E97" s="24"/>
      <c r="F97" s="24"/>
      <c r="G97" s="25"/>
      <c r="H97" s="25"/>
      <c r="I97" s="25"/>
      <c r="J97" s="25"/>
      <c r="K97" s="25"/>
      <c r="L97" s="25"/>
      <c r="M97" s="25"/>
      <c r="N97" s="25"/>
      <c r="O97" s="25"/>
      <c r="P97" s="25"/>
      <c r="Q97" s="24"/>
      <c r="R97" s="26"/>
      <c r="S97" s="26"/>
      <c r="T97" s="26"/>
      <c r="U97" s="27"/>
      <c r="V97" s="20" t="str">
        <f>IF(I97 &lt;&gt; "", VLOOKUP(I97, City!$A$1:$B$2, 2, FALSE), "" )</f>
        <v/>
      </c>
      <c r="W97" s="20" t="str">
        <f>IF(J97 &lt;&gt; "", VLOOKUP(J97, District!$A$1:$B$25, 2, FALSE), "")</f>
        <v/>
      </c>
      <c r="X97" s="21" t="str">
        <f>IF(K97 &lt;&gt; "", VLOOKUP(K97, IF(J97="Quận 1", Ward!$A$2:$B$11, IF(J97="Quận 2", Ward!$C$2:$D$12, IF(J97="Quận 3", Ward!$E$2:$F$15, IF(J97="Quận 4", Ward!$G$2:$H$16, IF(J97="Quận 5", Ward!$I$2:$J$16, IF(J97="Quận 6", Ward!$K$2:$L$15, IF(J97="Quận 7", Ward!$M$2:$N$11, IF(J97="Quận 8", Ward!$O$2:$P$17, IF(J97="Quận 9", Ward!$Q$2:$R$14, IF(J97="Quận 10", Ward!$S$2:$T$16, IF(J97="Quận 11", Ward!$U$2:$V$17, IF(J97="Quận 12", Ward!$W$2:$X$12, IF(J97="Huyện Bình Chánh", Ward!$Y$2:$Z$17, IF(J97="Quận Bình Tân", Ward!$AA$2:$AB$11, IF(J97="Quận Bình Thạnh", Ward!$AC$2:$AD$21, IF(J97="Huyện Cần Giờ", Ward!$AE$2:$AF$8, IF(J97="Huyện Củ Chi", Ward!$AG$2:$AH$22, IF(J97="Quận Gò Vấp", Ward!$AI$2:$AJ$17, IF(J97="Huyện Hóc Môn", Ward!$AK$2:$AL$13, IF(J97="Huyện Nhà Bè", Ward!$AM$2:$AN$8, IF(J97="Quận Phú Nhuận", Ward!$AO$2:$AP$16, IF(J97="Quận Tân Bình", Ward!$AQ$2:$AR$16, IF(J97="Quận Tân Phú", Ward!$AS$2:$AT$12, IF(J97="Quận Thủ Đức", Ward!$AU$2:$AV$13)))))))))))))))))))))))), 2, FALSE), "")</f>
        <v/>
      </c>
      <c r="Y97" s="20" t="str">
        <f>IF(B97 &lt;&gt; "", VLOOKUP(B97, HospitalType!$A$2:$B$9, 2, FALSE), "")</f>
        <v/>
      </c>
    </row>
    <row r="98" spans="1:25" x14ac:dyDescent="0.25">
      <c r="A98" s="34"/>
      <c r="B98" s="24"/>
      <c r="C98" s="24"/>
      <c r="D98" s="24"/>
      <c r="E98" s="24"/>
      <c r="F98" s="24"/>
      <c r="G98" s="25"/>
      <c r="H98" s="25"/>
      <c r="I98" s="25"/>
      <c r="J98" s="25"/>
      <c r="K98" s="25"/>
      <c r="L98" s="25"/>
      <c r="M98" s="25"/>
      <c r="N98" s="25"/>
      <c r="O98" s="25"/>
      <c r="P98" s="25"/>
      <c r="Q98" s="24"/>
      <c r="R98" s="26"/>
      <c r="S98" s="26"/>
      <c r="T98" s="26"/>
      <c r="U98" s="27"/>
      <c r="V98" s="20" t="str">
        <f>IF(I98 &lt;&gt; "", VLOOKUP(I98, City!$A$1:$B$2, 2, FALSE), "" )</f>
        <v/>
      </c>
      <c r="W98" s="20" t="str">
        <f>IF(J98 &lt;&gt; "", VLOOKUP(J98, District!$A$1:$B$25, 2, FALSE), "")</f>
        <v/>
      </c>
      <c r="X98" s="21" t="str">
        <f>IF(K98 &lt;&gt; "", VLOOKUP(K98, IF(J98="Quận 1", Ward!$A$2:$B$11, IF(J98="Quận 2", Ward!$C$2:$D$12, IF(J98="Quận 3", Ward!$E$2:$F$15, IF(J98="Quận 4", Ward!$G$2:$H$16, IF(J98="Quận 5", Ward!$I$2:$J$16, IF(J98="Quận 6", Ward!$K$2:$L$15, IF(J98="Quận 7", Ward!$M$2:$N$11, IF(J98="Quận 8", Ward!$O$2:$P$17, IF(J98="Quận 9", Ward!$Q$2:$R$14, IF(J98="Quận 10", Ward!$S$2:$T$16, IF(J98="Quận 11", Ward!$U$2:$V$17, IF(J98="Quận 12", Ward!$W$2:$X$12, IF(J98="Huyện Bình Chánh", Ward!$Y$2:$Z$17, IF(J98="Quận Bình Tân", Ward!$AA$2:$AB$11, IF(J98="Quận Bình Thạnh", Ward!$AC$2:$AD$21, IF(J98="Huyện Cần Giờ", Ward!$AE$2:$AF$8, IF(J98="Huyện Củ Chi", Ward!$AG$2:$AH$22, IF(J98="Quận Gò Vấp", Ward!$AI$2:$AJ$17, IF(J98="Huyện Hóc Môn", Ward!$AK$2:$AL$13, IF(J98="Huyện Nhà Bè", Ward!$AM$2:$AN$8, IF(J98="Quận Phú Nhuận", Ward!$AO$2:$AP$16, IF(J98="Quận Tân Bình", Ward!$AQ$2:$AR$16, IF(J98="Quận Tân Phú", Ward!$AS$2:$AT$12, IF(J98="Quận Thủ Đức", Ward!$AU$2:$AV$13)))))))))))))))))))))))), 2, FALSE), "")</f>
        <v/>
      </c>
      <c r="Y98" s="20" t="str">
        <f>IF(B98 &lt;&gt; "", VLOOKUP(B98, HospitalType!$A$2:$B$9, 2, FALSE), "")</f>
        <v/>
      </c>
    </row>
    <row r="99" spans="1:25" x14ac:dyDescent="0.25">
      <c r="A99" s="34"/>
      <c r="B99" s="24"/>
      <c r="C99" s="24"/>
      <c r="D99" s="24"/>
      <c r="E99" s="24"/>
      <c r="F99" s="24"/>
      <c r="G99" s="25"/>
      <c r="H99" s="25"/>
      <c r="I99" s="25"/>
      <c r="J99" s="25"/>
      <c r="K99" s="25"/>
      <c r="L99" s="25"/>
      <c r="M99" s="25"/>
      <c r="N99" s="25"/>
      <c r="O99" s="25"/>
      <c r="P99" s="25"/>
      <c r="Q99" s="24"/>
      <c r="R99" s="26"/>
      <c r="S99" s="26"/>
      <c r="T99" s="26"/>
      <c r="U99" s="27"/>
      <c r="V99" s="20" t="str">
        <f>IF(I99 &lt;&gt; "", VLOOKUP(I99, City!$A$1:$B$2, 2, FALSE), "" )</f>
        <v/>
      </c>
      <c r="W99" s="20" t="str">
        <f>IF(J99 &lt;&gt; "", VLOOKUP(J99, District!$A$1:$B$25, 2, FALSE), "")</f>
        <v/>
      </c>
      <c r="X99" s="21" t="str">
        <f>IF(K99 &lt;&gt; "", VLOOKUP(K99, IF(J99="Quận 1", Ward!$A$2:$B$11, IF(J99="Quận 2", Ward!$C$2:$D$12, IF(J99="Quận 3", Ward!$E$2:$F$15, IF(J99="Quận 4", Ward!$G$2:$H$16, IF(J99="Quận 5", Ward!$I$2:$J$16, IF(J99="Quận 6", Ward!$K$2:$L$15, IF(J99="Quận 7", Ward!$M$2:$N$11, IF(J99="Quận 8", Ward!$O$2:$P$17, IF(J99="Quận 9", Ward!$Q$2:$R$14, IF(J99="Quận 10", Ward!$S$2:$T$16, IF(J99="Quận 11", Ward!$U$2:$V$17, IF(J99="Quận 12", Ward!$W$2:$X$12, IF(J99="Huyện Bình Chánh", Ward!$Y$2:$Z$17, IF(J99="Quận Bình Tân", Ward!$AA$2:$AB$11, IF(J99="Quận Bình Thạnh", Ward!$AC$2:$AD$21, IF(J99="Huyện Cần Giờ", Ward!$AE$2:$AF$8, IF(J99="Huyện Củ Chi", Ward!$AG$2:$AH$22, IF(J99="Quận Gò Vấp", Ward!$AI$2:$AJ$17, IF(J99="Huyện Hóc Môn", Ward!$AK$2:$AL$13, IF(J99="Huyện Nhà Bè", Ward!$AM$2:$AN$8, IF(J99="Quận Phú Nhuận", Ward!$AO$2:$AP$16, IF(J99="Quận Tân Bình", Ward!$AQ$2:$AR$16, IF(J99="Quận Tân Phú", Ward!$AS$2:$AT$12, IF(J99="Quận Thủ Đức", Ward!$AU$2:$AV$13)))))))))))))))))))))))), 2, FALSE), "")</f>
        <v/>
      </c>
      <c r="Y99" s="20" t="str">
        <f>IF(B99 &lt;&gt; "", VLOOKUP(B99, HospitalType!$A$2:$B$9, 2, FALSE), "")</f>
        <v/>
      </c>
    </row>
    <row r="100" spans="1:25" x14ac:dyDescent="0.25">
      <c r="A100" s="34"/>
      <c r="B100" s="24"/>
      <c r="C100" s="24"/>
      <c r="D100" s="24"/>
      <c r="E100" s="24"/>
      <c r="F100" s="24"/>
      <c r="G100" s="25"/>
      <c r="H100" s="25"/>
      <c r="I100" s="25"/>
      <c r="J100" s="25"/>
      <c r="K100" s="25"/>
      <c r="L100" s="25"/>
      <c r="M100" s="25"/>
      <c r="N100" s="25"/>
      <c r="O100" s="25"/>
      <c r="P100" s="25"/>
      <c r="Q100" s="24"/>
      <c r="R100" s="26"/>
      <c r="S100" s="26"/>
      <c r="T100" s="26"/>
      <c r="U100" s="27"/>
      <c r="V100" s="20" t="str">
        <f>IF(I100 &lt;&gt; "", VLOOKUP(I100, City!$A$1:$B$2, 2, FALSE), "" )</f>
        <v/>
      </c>
      <c r="W100" s="20" t="str">
        <f>IF(J100 &lt;&gt; "", VLOOKUP(J100, District!$A$1:$B$25, 2, FALSE), "")</f>
        <v/>
      </c>
      <c r="X100" s="21" t="str">
        <f>IF(K100 &lt;&gt; "", VLOOKUP(K100, IF(J100="Quận 1", Ward!$A$2:$B$11, IF(J100="Quận 2", Ward!$C$2:$D$12, IF(J100="Quận 3", Ward!$E$2:$F$15, IF(J100="Quận 4", Ward!$G$2:$H$16, IF(J100="Quận 5", Ward!$I$2:$J$16, IF(J100="Quận 6", Ward!$K$2:$L$15, IF(J100="Quận 7", Ward!$M$2:$N$11, IF(J100="Quận 8", Ward!$O$2:$P$17, IF(J100="Quận 9", Ward!$Q$2:$R$14, IF(J100="Quận 10", Ward!$S$2:$T$16, IF(J100="Quận 11", Ward!$U$2:$V$17, IF(J100="Quận 12", Ward!$W$2:$X$12, IF(J100="Huyện Bình Chánh", Ward!$Y$2:$Z$17, IF(J100="Quận Bình Tân", Ward!$AA$2:$AB$11, IF(J100="Quận Bình Thạnh", Ward!$AC$2:$AD$21, IF(J100="Huyện Cần Giờ", Ward!$AE$2:$AF$8, IF(J100="Huyện Củ Chi", Ward!$AG$2:$AH$22, IF(J100="Quận Gò Vấp", Ward!$AI$2:$AJ$17, IF(J100="Huyện Hóc Môn", Ward!$AK$2:$AL$13, IF(J100="Huyện Nhà Bè", Ward!$AM$2:$AN$8, IF(J100="Quận Phú Nhuận", Ward!$AO$2:$AP$16, IF(J100="Quận Tân Bình", Ward!$AQ$2:$AR$16, IF(J100="Quận Tân Phú", Ward!$AS$2:$AT$12, IF(J100="Quận Thủ Đức", Ward!$AU$2:$AV$13)))))))))))))))))))))))), 2, FALSE), "")</f>
        <v/>
      </c>
      <c r="Y100" s="20" t="str">
        <f>IF(B100 &lt;&gt; "", VLOOKUP(B100, HospitalType!$A$2:$B$9, 2, FALSE), "")</f>
        <v/>
      </c>
    </row>
    <row r="101" spans="1:25" x14ac:dyDescent="0.25">
      <c r="A101" s="34"/>
      <c r="B101" s="24"/>
      <c r="C101" s="24"/>
      <c r="D101" s="24"/>
      <c r="E101" s="24"/>
      <c r="F101" s="24"/>
      <c r="G101" s="25"/>
      <c r="H101" s="25"/>
      <c r="I101" s="25"/>
      <c r="J101" s="25"/>
      <c r="K101" s="25"/>
      <c r="L101" s="25"/>
      <c r="M101" s="25"/>
      <c r="N101" s="25"/>
      <c r="O101" s="25"/>
      <c r="P101" s="25"/>
      <c r="Q101" s="24"/>
      <c r="R101" s="26"/>
      <c r="S101" s="26"/>
      <c r="T101" s="26"/>
      <c r="U101" s="27"/>
      <c r="V101" s="20" t="str">
        <f>IF(I101 &lt;&gt; "", VLOOKUP(I101, City!$A$1:$B$2, 2, FALSE), "" )</f>
        <v/>
      </c>
      <c r="W101" s="20" t="str">
        <f>IF(J101 &lt;&gt; "", VLOOKUP(J101, District!$A$1:$B$25, 2, FALSE), "")</f>
        <v/>
      </c>
      <c r="X101" s="21" t="str">
        <f>IF(K101 &lt;&gt; "", VLOOKUP(K101, IF(J101="Quận 1", Ward!$A$2:$B$11, IF(J101="Quận 2", Ward!$C$2:$D$12, IF(J101="Quận 3", Ward!$E$2:$F$15, IF(J101="Quận 4", Ward!$G$2:$H$16, IF(J101="Quận 5", Ward!$I$2:$J$16, IF(J101="Quận 6", Ward!$K$2:$L$15, IF(J101="Quận 7", Ward!$M$2:$N$11, IF(J101="Quận 8", Ward!$O$2:$P$17, IF(J101="Quận 9", Ward!$Q$2:$R$14, IF(J101="Quận 10", Ward!$S$2:$T$16, IF(J101="Quận 11", Ward!$U$2:$V$17, IF(J101="Quận 12", Ward!$W$2:$X$12, IF(J101="Huyện Bình Chánh", Ward!$Y$2:$Z$17, IF(J101="Quận Bình Tân", Ward!$AA$2:$AB$11, IF(J101="Quận Bình Thạnh", Ward!$AC$2:$AD$21, IF(J101="Huyện Cần Giờ", Ward!$AE$2:$AF$8, IF(J101="Huyện Củ Chi", Ward!$AG$2:$AH$22, IF(J101="Quận Gò Vấp", Ward!$AI$2:$AJ$17, IF(J101="Huyện Hóc Môn", Ward!$AK$2:$AL$13, IF(J101="Huyện Nhà Bè", Ward!$AM$2:$AN$8, IF(J101="Quận Phú Nhuận", Ward!$AO$2:$AP$16, IF(J101="Quận Tân Bình", Ward!$AQ$2:$AR$16, IF(J101="Quận Tân Phú", Ward!$AS$2:$AT$12, IF(J101="Quận Thủ Đức", Ward!$AU$2:$AV$13)))))))))))))))))))))))), 2, FALSE), "")</f>
        <v/>
      </c>
      <c r="Y101" s="20" t="str">
        <f>IF(B101 &lt;&gt; "", VLOOKUP(B101, HospitalType!$A$2:$B$9, 2, FALSE), "")</f>
        <v/>
      </c>
    </row>
    <row r="102" spans="1:25" x14ac:dyDescent="0.25">
      <c r="A102" s="34"/>
      <c r="B102" s="24"/>
      <c r="C102" s="24"/>
      <c r="D102" s="24"/>
      <c r="E102" s="24"/>
      <c r="F102" s="24"/>
      <c r="G102" s="25"/>
      <c r="H102" s="25"/>
      <c r="I102" s="25"/>
      <c r="J102" s="25"/>
      <c r="K102" s="25"/>
      <c r="L102" s="25"/>
      <c r="M102" s="25"/>
      <c r="N102" s="25"/>
      <c r="O102" s="25"/>
      <c r="P102" s="25"/>
      <c r="Q102" s="24"/>
      <c r="R102" s="26"/>
      <c r="S102" s="26"/>
      <c r="T102" s="26"/>
      <c r="U102" s="27"/>
      <c r="V102" s="20" t="str">
        <f>IF(I102 &lt;&gt; "", VLOOKUP(I102, City!$A$1:$B$2, 2, FALSE), "" )</f>
        <v/>
      </c>
      <c r="W102" s="20" t="str">
        <f>IF(J102 &lt;&gt; "", VLOOKUP(J102, District!$A$1:$B$25, 2, FALSE), "")</f>
        <v/>
      </c>
      <c r="X102" s="21" t="str">
        <f>IF(K102 &lt;&gt; "", VLOOKUP(K102, IF(J102="Quận 1", Ward!$A$2:$B$11, IF(J102="Quận 2", Ward!$C$2:$D$12, IF(J102="Quận 3", Ward!$E$2:$F$15, IF(J102="Quận 4", Ward!$G$2:$H$16, IF(J102="Quận 5", Ward!$I$2:$J$16, IF(J102="Quận 6", Ward!$K$2:$L$15, IF(J102="Quận 7", Ward!$M$2:$N$11, IF(J102="Quận 8", Ward!$O$2:$P$17, IF(J102="Quận 9", Ward!$Q$2:$R$14, IF(J102="Quận 10", Ward!$S$2:$T$16, IF(J102="Quận 11", Ward!$U$2:$V$17, IF(J102="Quận 12", Ward!$W$2:$X$12, IF(J102="Huyện Bình Chánh", Ward!$Y$2:$Z$17, IF(J102="Quận Bình Tân", Ward!$AA$2:$AB$11, IF(J102="Quận Bình Thạnh", Ward!$AC$2:$AD$21, IF(J102="Huyện Cần Giờ", Ward!$AE$2:$AF$8, IF(J102="Huyện Củ Chi", Ward!$AG$2:$AH$22, IF(J102="Quận Gò Vấp", Ward!$AI$2:$AJ$17, IF(J102="Huyện Hóc Môn", Ward!$AK$2:$AL$13, IF(J102="Huyện Nhà Bè", Ward!$AM$2:$AN$8, IF(J102="Quận Phú Nhuận", Ward!$AO$2:$AP$16, IF(J102="Quận Tân Bình", Ward!$AQ$2:$AR$16, IF(J102="Quận Tân Phú", Ward!$AS$2:$AT$12, IF(J102="Quận Thủ Đức", Ward!$AU$2:$AV$13)))))))))))))))))))))))), 2, FALSE), "")</f>
        <v/>
      </c>
      <c r="Y102" s="20" t="str">
        <f>IF(B102 &lt;&gt; "", VLOOKUP(B102, HospitalType!$A$2:$B$9, 2, FALSE), "")</f>
        <v/>
      </c>
    </row>
    <row r="103" spans="1:25" x14ac:dyDescent="0.25">
      <c r="A103" s="34"/>
      <c r="B103" s="24"/>
      <c r="C103" s="24"/>
      <c r="D103" s="24"/>
      <c r="E103" s="24"/>
      <c r="F103" s="24"/>
      <c r="G103" s="25"/>
      <c r="H103" s="25"/>
      <c r="I103" s="25"/>
      <c r="J103" s="25"/>
      <c r="K103" s="25"/>
      <c r="L103" s="25"/>
      <c r="M103" s="25"/>
      <c r="N103" s="25"/>
      <c r="O103" s="25"/>
      <c r="P103" s="25"/>
      <c r="Q103" s="24"/>
      <c r="R103" s="26"/>
      <c r="S103" s="26"/>
      <c r="T103" s="26"/>
      <c r="U103" s="27"/>
      <c r="V103" s="20" t="str">
        <f>IF(I103 &lt;&gt; "", VLOOKUP(I103, City!$A$1:$B$2, 2, FALSE), "" )</f>
        <v/>
      </c>
      <c r="W103" s="20" t="str">
        <f>IF(J103 &lt;&gt; "", VLOOKUP(J103, District!$A$1:$B$25, 2, FALSE), "")</f>
        <v/>
      </c>
      <c r="X103" s="21" t="str">
        <f>IF(K103 &lt;&gt; "", VLOOKUP(K103, IF(J103="Quận 1", Ward!$A$2:$B$11, IF(J103="Quận 2", Ward!$C$2:$D$12, IF(J103="Quận 3", Ward!$E$2:$F$15, IF(J103="Quận 4", Ward!$G$2:$H$16, IF(J103="Quận 5", Ward!$I$2:$J$16, IF(J103="Quận 6", Ward!$K$2:$L$15, IF(J103="Quận 7", Ward!$M$2:$N$11, IF(J103="Quận 8", Ward!$O$2:$P$17, IF(J103="Quận 9", Ward!$Q$2:$R$14, IF(J103="Quận 10", Ward!$S$2:$T$16, IF(J103="Quận 11", Ward!$U$2:$V$17, IF(J103="Quận 12", Ward!$W$2:$X$12, IF(J103="Huyện Bình Chánh", Ward!$Y$2:$Z$17, IF(J103="Quận Bình Tân", Ward!$AA$2:$AB$11, IF(J103="Quận Bình Thạnh", Ward!$AC$2:$AD$21, IF(J103="Huyện Cần Giờ", Ward!$AE$2:$AF$8, IF(J103="Huyện Củ Chi", Ward!$AG$2:$AH$22, IF(J103="Quận Gò Vấp", Ward!$AI$2:$AJ$17, IF(J103="Huyện Hóc Môn", Ward!$AK$2:$AL$13, IF(J103="Huyện Nhà Bè", Ward!$AM$2:$AN$8, IF(J103="Quận Phú Nhuận", Ward!$AO$2:$AP$16, IF(J103="Quận Tân Bình", Ward!$AQ$2:$AR$16, IF(J103="Quận Tân Phú", Ward!$AS$2:$AT$12, IF(J103="Quận Thủ Đức", Ward!$AU$2:$AV$13)))))))))))))))))))))))), 2, FALSE), "")</f>
        <v/>
      </c>
      <c r="Y103" s="20" t="str">
        <f>IF(B103 &lt;&gt; "", VLOOKUP(B103, HospitalType!$A$2:$B$9, 2, FALSE), "")</f>
        <v/>
      </c>
    </row>
    <row r="104" spans="1:25" x14ac:dyDescent="0.25">
      <c r="A104" s="34"/>
      <c r="B104" s="24"/>
      <c r="C104" s="24"/>
      <c r="D104" s="24"/>
      <c r="E104" s="24"/>
      <c r="F104" s="24"/>
      <c r="G104" s="25"/>
      <c r="H104" s="25"/>
      <c r="I104" s="25"/>
      <c r="J104" s="25"/>
      <c r="K104" s="25"/>
      <c r="L104" s="25"/>
      <c r="M104" s="25"/>
      <c r="N104" s="25"/>
      <c r="O104" s="25"/>
      <c r="P104" s="25"/>
      <c r="Q104" s="24"/>
      <c r="R104" s="26"/>
      <c r="S104" s="26"/>
      <c r="T104" s="26"/>
      <c r="U104" s="27"/>
      <c r="V104" s="20" t="str">
        <f>IF(I104 &lt;&gt; "", VLOOKUP(I104, City!$A$1:$B$2, 2, FALSE), "" )</f>
        <v/>
      </c>
      <c r="W104" s="20" t="str">
        <f>IF(J104 &lt;&gt; "", VLOOKUP(J104, District!$A$1:$B$25, 2, FALSE), "")</f>
        <v/>
      </c>
      <c r="X104" s="21" t="str">
        <f>IF(K104 &lt;&gt; "", VLOOKUP(K104, IF(J104="Quận 1", Ward!$A$2:$B$11, IF(J104="Quận 2", Ward!$C$2:$D$12, IF(J104="Quận 3", Ward!$E$2:$F$15, IF(J104="Quận 4", Ward!$G$2:$H$16, IF(J104="Quận 5", Ward!$I$2:$J$16, IF(J104="Quận 6", Ward!$K$2:$L$15, IF(J104="Quận 7", Ward!$M$2:$N$11, IF(J104="Quận 8", Ward!$O$2:$P$17, IF(J104="Quận 9", Ward!$Q$2:$R$14, IF(J104="Quận 10", Ward!$S$2:$T$16, IF(J104="Quận 11", Ward!$U$2:$V$17, IF(J104="Quận 12", Ward!$W$2:$X$12, IF(J104="Huyện Bình Chánh", Ward!$Y$2:$Z$17, IF(J104="Quận Bình Tân", Ward!$AA$2:$AB$11, IF(J104="Quận Bình Thạnh", Ward!$AC$2:$AD$21, IF(J104="Huyện Cần Giờ", Ward!$AE$2:$AF$8, IF(J104="Huyện Củ Chi", Ward!$AG$2:$AH$22, IF(J104="Quận Gò Vấp", Ward!$AI$2:$AJ$17, IF(J104="Huyện Hóc Môn", Ward!$AK$2:$AL$13, IF(J104="Huyện Nhà Bè", Ward!$AM$2:$AN$8, IF(J104="Quận Phú Nhuận", Ward!$AO$2:$AP$16, IF(J104="Quận Tân Bình", Ward!$AQ$2:$AR$16, IF(J104="Quận Tân Phú", Ward!$AS$2:$AT$12, IF(J104="Quận Thủ Đức", Ward!$AU$2:$AV$13)))))))))))))))))))))))), 2, FALSE), "")</f>
        <v/>
      </c>
      <c r="Y104" s="20" t="str">
        <f>IF(B104 &lt;&gt; "", VLOOKUP(B104, HospitalType!$A$2:$B$9, 2, FALSE), "")</f>
        <v/>
      </c>
    </row>
    <row r="105" spans="1:25" x14ac:dyDescent="0.25">
      <c r="A105" s="34"/>
      <c r="B105" s="24"/>
      <c r="C105" s="24"/>
      <c r="D105" s="24"/>
      <c r="E105" s="24"/>
      <c r="F105" s="24"/>
      <c r="G105" s="25"/>
      <c r="H105" s="25"/>
      <c r="I105" s="25"/>
      <c r="J105" s="25"/>
      <c r="K105" s="25"/>
      <c r="L105" s="25"/>
      <c r="M105" s="25"/>
      <c r="N105" s="25"/>
      <c r="O105" s="25"/>
      <c r="P105" s="25"/>
      <c r="Q105" s="24"/>
      <c r="R105" s="26"/>
      <c r="S105" s="26"/>
      <c r="T105" s="26"/>
      <c r="U105" s="27"/>
      <c r="V105" s="20" t="str">
        <f>IF(I105 &lt;&gt; "", VLOOKUP(I105, City!$A$1:$B$2, 2, FALSE), "" )</f>
        <v/>
      </c>
      <c r="W105" s="20" t="str">
        <f>IF(J105 &lt;&gt; "", VLOOKUP(J105, District!$A$1:$B$25, 2, FALSE), "")</f>
        <v/>
      </c>
      <c r="X105" s="21" t="str">
        <f>IF(K105 &lt;&gt; "", VLOOKUP(K105, IF(J105="Quận 1", Ward!$A$2:$B$11, IF(J105="Quận 2", Ward!$C$2:$D$12, IF(J105="Quận 3", Ward!$E$2:$F$15, IF(J105="Quận 4", Ward!$G$2:$H$16, IF(J105="Quận 5", Ward!$I$2:$J$16, IF(J105="Quận 6", Ward!$K$2:$L$15, IF(J105="Quận 7", Ward!$M$2:$N$11, IF(J105="Quận 8", Ward!$O$2:$P$17, IF(J105="Quận 9", Ward!$Q$2:$R$14, IF(J105="Quận 10", Ward!$S$2:$T$16, IF(J105="Quận 11", Ward!$U$2:$V$17, IF(J105="Quận 12", Ward!$W$2:$X$12, IF(J105="Huyện Bình Chánh", Ward!$Y$2:$Z$17, IF(J105="Quận Bình Tân", Ward!$AA$2:$AB$11, IF(J105="Quận Bình Thạnh", Ward!$AC$2:$AD$21, IF(J105="Huyện Cần Giờ", Ward!$AE$2:$AF$8, IF(J105="Huyện Củ Chi", Ward!$AG$2:$AH$22, IF(J105="Quận Gò Vấp", Ward!$AI$2:$AJ$17, IF(J105="Huyện Hóc Môn", Ward!$AK$2:$AL$13, IF(J105="Huyện Nhà Bè", Ward!$AM$2:$AN$8, IF(J105="Quận Phú Nhuận", Ward!$AO$2:$AP$16, IF(J105="Quận Tân Bình", Ward!$AQ$2:$AR$16, IF(J105="Quận Tân Phú", Ward!$AS$2:$AT$12, IF(J105="Quận Thủ Đức", Ward!$AU$2:$AV$13)))))))))))))))))))))))), 2, FALSE), "")</f>
        <v/>
      </c>
      <c r="Y105" s="20" t="str">
        <f>IF(B105 &lt;&gt; "", VLOOKUP(B105, HospitalType!$A$2:$B$9, 2, FALSE), "")</f>
        <v/>
      </c>
    </row>
    <row r="106" spans="1:25" x14ac:dyDescent="0.25">
      <c r="A106" s="34"/>
      <c r="B106" s="24"/>
      <c r="C106" s="24"/>
      <c r="D106" s="24"/>
      <c r="E106" s="24"/>
      <c r="F106" s="24"/>
      <c r="G106" s="25"/>
      <c r="H106" s="25"/>
      <c r="I106" s="25"/>
      <c r="J106" s="25"/>
      <c r="K106" s="25"/>
      <c r="L106" s="25"/>
      <c r="M106" s="25"/>
      <c r="N106" s="25"/>
      <c r="O106" s="25"/>
      <c r="P106" s="25"/>
      <c r="Q106" s="24"/>
      <c r="R106" s="26"/>
      <c r="S106" s="26"/>
      <c r="T106" s="26"/>
      <c r="U106" s="27"/>
      <c r="V106" s="20" t="str">
        <f>IF(I106 &lt;&gt; "", VLOOKUP(I106, City!$A$1:$B$2, 2, FALSE), "" )</f>
        <v/>
      </c>
      <c r="W106" s="20" t="str">
        <f>IF(J106 &lt;&gt; "", VLOOKUP(J106, District!$A$1:$B$25, 2, FALSE), "")</f>
        <v/>
      </c>
      <c r="X106" s="21" t="str">
        <f>IF(K106 &lt;&gt; "", VLOOKUP(K106, IF(J106="Quận 1", Ward!$A$2:$B$11, IF(J106="Quận 2", Ward!$C$2:$D$12, IF(J106="Quận 3", Ward!$E$2:$F$15, IF(J106="Quận 4", Ward!$G$2:$H$16, IF(J106="Quận 5", Ward!$I$2:$J$16, IF(J106="Quận 6", Ward!$K$2:$L$15, IF(J106="Quận 7", Ward!$M$2:$N$11, IF(J106="Quận 8", Ward!$O$2:$P$17, IF(J106="Quận 9", Ward!$Q$2:$R$14, IF(J106="Quận 10", Ward!$S$2:$T$16, IF(J106="Quận 11", Ward!$U$2:$V$17, IF(J106="Quận 12", Ward!$W$2:$X$12, IF(J106="Huyện Bình Chánh", Ward!$Y$2:$Z$17, IF(J106="Quận Bình Tân", Ward!$AA$2:$AB$11, IF(J106="Quận Bình Thạnh", Ward!$AC$2:$AD$21, IF(J106="Huyện Cần Giờ", Ward!$AE$2:$AF$8, IF(J106="Huyện Củ Chi", Ward!$AG$2:$AH$22, IF(J106="Quận Gò Vấp", Ward!$AI$2:$AJ$17, IF(J106="Huyện Hóc Môn", Ward!$AK$2:$AL$13, IF(J106="Huyện Nhà Bè", Ward!$AM$2:$AN$8, IF(J106="Quận Phú Nhuận", Ward!$AO$2:$AP$16, IF(J106="Quận Tân Bình", Ward!$AQ$2:$AR$16, IF(J106="Quận Tân Phú", Ward!$AS$2:$AT$12, IF(J106="Quận Thủ Đức", Ward!$AU$2:$AV$13)))))))))))))))))))))))), 2, FALSE), "")</f>
        <v/>
      </c>
      <c r="Y106" s="20" t="str">
        <f>IF(B106 &lt;&gt; "", VLOOKUP(B106, HospitalType!$A$2:$B$9, 2, FALSE), "")</f>
        <v/>
      </c>
    </row>
    <row r="107" spans="1:25" x14ac:dyDescent="0.25">
      <c r="A107" s="34"/>
      <c r="B107" s="24"/>
      <c r="C107" s="24"/>
      <c r="D107" s="24"/>
      <c r="E107" s="24"/>
      <c r="F107" s="24"/>
      <c r="G107" s="25"/>
      <c r="H107" s="25"/>
      <c r="I107" s="25"/>
      <c r="J107" s="25"/>
      <c r="K107" s="25"/>
      <c r="L107" s="25"/>
      <c r="M107" s="25"/>
      <c r="N107" s="25"/>
      <c r="O107" s="25"/>
      <c r="P107" s="25"/>
      <c r="Q107" s="24"/>
      <c r="R107" s="26"/>
      <c r="S107" s="26"/>
      <c r="T107" s="26"/>
      <c r="U107" s="27"/>
      <c r="V107" s="20" t="str">
        <f>IF(I107 &lt;&gt; "", VLOOKUP(I107, City!$A$1:$B$2, 2, FALSE), "" )</f>
        <v/>
      </c>
      <c r="W107" s="20" t="str">
        <f>IF(J107 &lt;&gt; "", VLOOKUP(J107, District!$A$1:$B$25, 2, FALSE), "")</f>
        <v/>
      </c>
      <c r="X107" s="21" t="str">
        <f>IF(K107 &lt;&gt; "", VLOOKUP(K107, IF(J107="Quận 1", Ward!$A$2:$B$11, IF(J107="Quận 2", Ward!$C$2:$D$12, IF(J107="Quận 3", Ward!$E$2:$F$15, IF(J107="Quận 4", Ward!$G$2:$H$16, IF(J107="Quận 5", Ward!$I$2:$J$16, IF(J107="Quận 6", Ward!$K$2:$L$15, IF(J107="Quận 7", Ward!$M$2:$N$11, IF(J107="Quận 8", Ward!$O$2:$P$17, IF(J107="Quận 9", Ward!$Q$2:$R$14, IF(J107="Quận 10", Ward!$S$2:$T$16, IF(J107="Quận 11", Ward!$U$2:$V$17, IF(J107="Quận 12", Ward!$W$2:$X$12, IF(J107="Huyện Bình Chánh", Ward!$Y$2:$Z$17, IF(J107="Quận Bình Tân", Ward!$AA$2:$AB$11, IF(J107="Quận Bình Thạnh", Ward!$AC$2:$AD$21, IF(J107="Huyện Cần Giờ", Ward!$AE$2:$AF$8, IF(J107="Huyện Củ Chi", Ward!$AG$2:$AH$22, IF(J107="Quận Gò Vấp", Ward!$AI$2:$AJ$17, IF(J107="Huyện Hóc Môn", Ward!$AK$2:$AL$13, IF(J107="Huyện Nhà Bè", Ward!$AM$2:$AN$8, IF(J107="Quận Phú Nhuận", Ward!$AO$2:$AP$16, IF(J107="Quận Tân Bình", Ward!$AQ$2:$AR$16, IF(J107="Quận Tân Phú", Ward!$AS$2:$AT$12, IF(J107="Quận Thủ Đức", Ward!$AU$2:$AV$13)))))))))))))))))))))))), 2, FALSE), "")</f>
        <v/>
      </c>
      <c r="Y107" s="20" t="str">
        <f>IF(B107 &lt;&gt; "", VLOOKUP(B107, HospitalType!$A$2:$B$9, 2, FALSE), "")</f>
        <v/>
      </c>
    </row>
    <row r="108" spans="1:25" x14ac:dyDescent="0.25">
      <c r="A108" s="34"/>
      <c r="B108" s="24"/>
      <c r="C108" s="24"/>
      <c r="D108" s="24"/>
      <c r="E108" s="24"/>
      <c r="F108" s="24"/>
      <c r="G108" s="25"/>
      <c r="H108" s="25"/>
      <c r="I108" s="25"/>
      <c r="J108" s="25"/>
      <c r="K108" s="25"/>
      <c r="L108" s="25"/>
      <c r="M108" s="25"/>
      <c r="N108" s="25"/>
      <c r="O108" s="25"/>
      <c r="P108" s="25"/>
      <c r="Q108" s="24"/>
      <c r="R108" s="26"/>
      <c r="S108" s="26"/>
      <c r="T108" s="26"/>
      <c r="U108" s="27"/>
      <c r="V108" s="20" t="str">
        <f>IF(I108 &lt;&gt; "", VLOOKUP(I108, City!$A$1:$B$2, 2, FALSE), "" )</f>
        <v/>
      </c>
      <c r="W108" s="20" t="str">
        <f>IF(J108 &lt;&gt; "", VLOOKUP(J108, District!$A$1:$B$25, 2, FALSE), "")</f>
        <v/>
      </c>
      <c r="X108" s="21" t="str">
        <f>IF(K108 &lt;&gt; "", VLOOKUP(K108, IF(J108="Quận 1", Ward!$A$2:$B$11, IF(J108="Quận 2", Ward!$C$2:$D$12, IF(J108="Quận 3", Ward!$E$2:$F$15, IF(J108="Quận 4", Ward!$G$2:$H$16, IF(J108="Quận 5", Ward!$I$2:$J$16, IF(J108="Quận 6", Ward!$K$2:$L$15, IF(J108="Quận 7", Ward!$M$2:$N$11, IF(J108="Quận 8", Ward!$O$2:$P$17, IF(J108="Quận 9", Ward!$Q$2:$R$14, IF(J108="Quận 10", Ward!$S$2:$T$16, IF(J108="Quận 11", Ward!$U$2:$V$17, IF(J108="Quận 12", Ward!$W$2:$X$12, IF(J108="Huyện Bình Chánh", Ward!$Y$2:$Z$17, IF(J108="Quận Bình Tân", Ward!$AA$2:$AB$11, IF(J108="Quận Bình Thạnh", Ward!$AC$2:$AD$21, IF(J108="Huyện Cần Giờ", Ward!$AE$2:$AF$8, IF(J108="Huyện Củ Chi", Ward!$AG$2:$AH$22, IF(J108="Quận Gò Vấp", Ward!$AI$2:$AJ$17, IF(J108="Huyện Hóc Môn", Ward!$AK$2:$AL$13, IF(J108="Huyện Nhà Bè", Ward!$AM$2:$AN$8, IF(J108="Quận Phú Nhuận", Ward!$AO$2:$AP$16, IF(J108="Quận Tân Bình", Ward!$AQ$2:$AR$16, IF(J108="Quận Tân Phú", Ward!$AS$2:$AT$12, IF(J108="Quận Thủ Đức", Ward!$AU$2:$AV$13)))))))))))))))))))))))), 2, FALSE), "")</f>
        <v/>
      </c>
      <c r="Y108" s="20" t="str">
        <f>IF(B108 &lt;&gt; "", VLOOKUP(B108, HospitalType!$A$2:$B$9, 2, FALSE), "")</f>
        <v/>
      </c>
    </row>
    <row r="109" spans="1:25" x14ac:dyDescent="0.25">
      <c r="A109" s="34"/>
      <c r="B109" s="24"/>
      <c r="C109" s="24"/>
      <c r="D109" s="24"/>
      <c r="E109" s="24"/>
      <c r="F109" s="24"/>
      <c r="G109" s="25"/>
      <c r="H109" s="25"/>
      <c r="I109" s="25"/>
      <c r="J109" s="25"/>
      <c r="K109" s="25"/>
      <c r="L109" s="25"/>
      <c r="M109" s="25"/>
      <c r="N109" s="25"/>
      <c r="O109" s="25"/>
      <c r="P109" s="25"/>
      <c r="Q109" s="24"/>
      <c r="R109" s="26"/>
      <c r="S109" s="26"/>
      <c r="T109" s="26"/>
      <c r="U109" s="27"/>
      <c r="V109" s="20" t="str">
        <f>IF(I109 &lt;&gt; "", VLOOKUP(I109, City!$A$1:$B$2, 2, FALSE), "" )</f>
        <v/>
      </c>
      <c r="W109" s="20" t="str">
        <f>IF(J109 &lt;&gt; "", VLOOKUP(J109, District!$A$1:$B$25, 2, FALSE), "")</f>
        <v/>
      </c>
      <c r="X109" s="21" t="str">
        <f>IF(K109 &lt;&gt; "", VLOOKUP(K109, IF(J109="Quận 1", Ward!$A$2:$B$11, IF(J109="Quận 2", Ward!$C$2:$D$12, IF(J109="Quận 3", Ward!$E$2:$F$15, IF(J109="Quận 4", Ward!$G$2:$H$16, IF(J109="Quận 5", Ward!$I$2:$J$16, IF(J109="Quận 6", Ward!$K$2:$L$15, IF(J109="Quận 7", Ward!$M$2:$N$11, IF(J109="Quận 8", Ward!$O$2:$P$17, IF(J109="Quận 9", Ward!$Q$2:$R$14, IF(J109="Quận 10", Ward!$S$2:$T$16, IF(J109="Quận 11", Ward!$U$2:$V$17, IF(J109="Quận 12", Ward!$W$2:$X$12, IF(J109="Huyện Bình Chánh", Ward!$Y$2:$Z$17, IF(J109="Quận Bình Tân", Ward!$AA$2:$AB$11, IF(J109="Quận Bình Thạnh", Ward!$AC$2:$AD$21, IF(J109="Huyện Cần Giờ", Ward!$AE$2:$AF$8, IF(J109="Huyện Củ Chi", Ward!$AG$2:$AH$22, IF(J109="Quận Gò Vấp", Ward!$AI$2:$AJ$17, IF(J109="Huyện Hóc Môn", Ward!$AK$2:$AL$13, IF(J109="Huyện Nhà Bè", Ward!$AM$2:$AN$8, IF(J109="Quận Phú Nhuận", Ward!$AO$2:$AP$16, IF(J109="Quận Tân Bình", Ward!$AQ$2:$AR$16, IF(J109="Quận Tân Phú", Ward!$AS$2:$AT$12, IF(J109="Quận Thủ Đức", Ward!$AU$2:$AV$13)))))))))))))))))))))))), 2, FALSE), "")</f>
        <v/>
      </c>
      <c r="Y109" s="20" t="str">
        <f>IF(B109 &lt;&gt; "", VLOOKUP(B109, HospitalType!$A$2:$B$9, 2, FALSE), "")</f>
        <v/>
      </c>
    </row>
    <row r="110" spans="1:25" x14ac:dyDescent="0.25">
      <c r="A110" s="34"/>
      <c r="B110" s="24"/>
      <c r="C110" s="24"/>
      <c r="D110" s="24"/>
      <c r="E110" s="24"/>
      <c r="F110" s="24"/>
      <c r="G110" s="25"/>
      <c r="H110" s="25"/>
      <c r="I110" s="25"/>
      <c r="J110" s="25"/>
      <c r="K110" s="25"/>
      <c r="L110" s="25"/>
      <c r="M110" s="25"/>
      <c r="N110" s="25"/>
      <c r="O110" s="25"/>
      <c r="P110" s="25"/>
      <c r="Q110" s="24"/>
      <c r="R110" s="26"/>
      <c r="S110" s="26"/>
      <c r="T110" s="26"/>
      <c r="U110" s="27"/>
      <c r="V110" s="20" t="str">
        <f>IF(I110 &lt;&gt; "", VLOOKUP(I110, City!$A$1:$B$2, 2, FALSE), "" )</f>
        <v/>
      </c>
      <c r="W110" s="20" t="str">
        <f>IF(J110 &lt;&gt; "", VLOOKUP(J110, District!$A$1:$B$25, 2, FALSE), "")</f>
        <v/>
      </c>
      <c r="X110" s="21" t="str">
        <f>IF(K110 &lt;&gt; "", VLOOKUP(K110, IF(J110="Quận 1", Ward!$A$2:$B$11, IF(J110="Quận 2", Ward!$C$2:$D$12, IF(J110="Quận 3", Ward!$E$2:$F$15, IF(J110="Quận 4", Ward!$G$2:$H$16, IF(J110="Quận 5", Ward!$I$2:$J$16, IF(J110="Quận 6", Ward!$K$2:$L$15, IF(J110="Quận 7", Ward!$M$2:$N$11, IF(J110="Quận 8", Ward!$O$2:$P$17, IF(J110="Quận 9", Ward!$Q$2:$R$14, IF(J110="Quận 10", Ward!$S$2:$T$16, IF(J110="Quận 11", Ward!$U$2:$V$17, IF(J110="Quận 12", Ward!$W$2:$X$12, IF(J110="Huyện Bình Chánh", Ward!$Y$2:$Z$17, IF(J110="Quận Bình Tân", Ward!$AA$2:$AB$11, IF(J110="Quận Bình Thạnh", Ward!$AC$2:$AD$21, IF(J110="Huyện Cần Giờ", Ward!$AE$2:$AF$8, IF(J110="Huyện Củ Chi", Ward!$AG$2:$AH$22, IF(J110="Quận Gò Vấp", Ward!$AI$2:$AJ$17, IF(J110="Huyện Hóc Môn", Ward!$AK$2:$AL$13, IF(J110="Huyện Nhà Bè", Ward!$AM$2:$AN$8, IF(J110="Quận Phú Nhuận", Ward!$AO$2:$AP$16, IF(J110="Quận Tân Bình", Ward!$AQ$2:$AR$16, IF(J110="Quận Tân Phú", Ward!$AS$2:$AT$12, IF(J110="Quận Thủ Đức", Ward!$AU$2:$AV$13)))))))))))))))))))))))), 2, FALSE), "")</f>
        <v/>
      </c>
      <c r="Y110" s="20" t="str">
        <f>IF(B110 &lt;&gt; "", VLOOKUP(B110, HospitalType!$A$2:$B$9, 2, FALSE), "")</f>
        <v/>
      </c>
    </row>
    <row r="111" spans="1:25" x14ac:dyDescent="0.25">
      <c r="A111" s="34"/>
      <c r="B111" s="24"/>
      <c r="C111" s="24"/>
      <c r="D111" s="24"/>
      <c r="E111" s="24"/>
      <c r="F111" s="24"/>
      <c r="G111" s="25"/>
      <c r="H111" s="25"/>
      <c r="I111" s="25"/>
      <c r="J111" s="25"/>
      <c r="K111" s="25"/>
      <c r="L111" s="25"/>
      <c r="M111" s="25"/>
      <c r="N111" s="25"/>
      <c r="O111" s="25"/>
      <c r="P111" s="25"/>
      <c r="Q111" s="24"/>
      <c r="R111" s="26"/>
      <c r="S111" s="26"/>
      <c r="T111" s="26"/>
      <c r="U111" s="27"/>
      <c r="V111" s="20" t="str">
        <f>IF(I111 &lt;&gt; "", VLOOKUP(I111, City!$A$1:$B$2, 2, FALSE), "" )</f>
        <v/>
      </c>
      <c r="W111" s="20" t="str">
        <f>IF(J111 &lt;&gt; "", VLOOKUP(J111, District!$A$1:$B$25, 2, FALSE), "")</f>
        <v/>
      </c>
      <c r="X111" s="21" t="str">
        <f>IF(K111 &lt;&gt; "", VLOOKUP(K111, IF(J111="Quận 1", Ward!$A$2:$B$11, IF(J111="Quận 2", Ward!$C$2:$D$12, IF(J111="Quận 3", Ward!$E$2:$F$15, IF(J111="Quận 4", Ward!$G$2:$H$16, IF(J111="Quận 5", Ward!$I$2:$J$16, IF(J111="Quận 6", Ward!$K$2:$L$15, IF(J111="Quận 7", Ward!$M$2:$N$11, IF(J111="Quận 8", Ward!$O$2:$P$17, IF(J111="Quận 9", Ward!$Q$2:$R$14, IF(J111="Quận 10", Ward!$S$2:$T$16, IF(J111="Quận 11", Ward!$U$2:$V$17, IF(J111="Quận 12", Ward!$W$2:$X$12, IF(J111="Huyện Bình Chánh", Ward!$Y$2:$Z$17, IF(J111="Quận Bình Tân", Ward!$AA$2:$AB$11, IF(J111="Quận Bình Thạnh", Ward!$AC$2:$AD$21, IF(J111="Huyện Cần Giờ", Ward!$AE$2:$AF$8, IF(J111="Huyện Củ Chi", Ward!$AG$2:$AH$22, IF(J111="Quận Gò Vấp", Ward!$AI$2:$AJ$17, IF(J111="Huyện Hóc Môn", Ward!$AK$2:$AL$13, IF(J111="Huyện Nhà Bè", Ward!$AM$2:$AN$8, IF(J111="Quận Phú Nhuận", Ward!$AO$2:$AP$16, IF(J111="Quận Tân Bình", Ward!$AQ$2:$AR$16, IF(J111="Quận Tân Phú", Ward!$AS$2:$AT$12, IF(J111="Quận Thủ Đức", Ward!$AU$2:$AV$13)))))))))))))))))))))))), 2, FALSE), "")</f>
        <v/>
      </c>
      <c r="Y111" s="20" t="str">
        <f>IF(B111 &lt;&gt; "", VLOOKUP(B111, HospitalType!$A$2:$B$9, 2, FALSE), "")</f>
        <v/>
      </c>
    </row>
    <row r="112" spans="1:25" x14ac:dyDescent="0.25">
      <c r="A112" s="34"/>
      <c r="B112" s="24"/>
      <c r="C112" s="24"/>
      <c r="D112" s="24"/>
      <c r="E112" s="24"/>
      <c r="F112" s="24"/>
      <c r="G112" s="25"/>
      <c r="H112" s="25"/>
      <c r="I112" s="25"/>
      <c r="J112" s="25"/>
      <c r="K112" s="25"/>
      <c r="L112" s="25"/>
      <c r="M112" s="25"/>
      <c r="N112" s="25"/>
      <c r="O112" s="25"/>
      <c r="P112" s="25"/>
      <c r="Q112" s="24"/>
      <c r="R112" s="26"/>
      <c r="S112" s="26"/>
      <c r="T112" s="26"/>
      <c r="U112" s="27"/>
      <c r="V112" s="20" t="str">
        <f>IF(I112 &lt;&gt; "", VLOOKUP(I112, City!$A$1:$B$2, 2, FALSE), "" )</f>
        <v/>
      </c>
      <c r="W112" s="20" t="str">
        <f>IF(J112 &lt;&gt; "", VLOOKUP(J112, District!$A$1:$B$25, 2, FALSE), "")</f>
        <v/>
      </c>
      <c r="X112" s="21" t="str">
        <f>IF(K112 &lt;&gt; "", VLOOKUP(K112, IF(J112="Quận 1", Ward!$A$2:$B$11, IF(J112="Quận 2", Ward!$C$2:$D$12, IF(J112="Quận 3", Ward!$E$2:$F$15, IF(J112="Quận 4", Ward!$G$2:$H$16, IF(J112="Quận 5", Ward!$I$2:$J$16, IF(J112="Quận 6", Ward!$K$2:$L$15, IF(J112="Quận 7", Ward!$M$2:$N$11, IF(J112="Quận 8", Ward!$O$2:$P$17, IF(J112="Quận 9", Ward!$Q$2:$R$14, IF(J112="Quận 10", Ward!$S$2:$T$16, IF(J112="Quận 11", Ward!$U$2:$V$17, IF(J112="Quận 12", Ward!$W$2:$X$12, IF(J112="Huyện Bình Chánh", Ward!$Y$2:$Z$17, IF(J112="Quận Bình Tân", Ward!$AA$2:$AB$11, IF(J112="Quận Bình Thạnh", Ward!$AC$2:$AD$21, IF(J112="Huyện Cần Giờ", Ward!$AE$2:$AF$8, IF(J112="Huyện Củ Chi", Ward!$AG$2:$AH$22, IF(J112="Quận Gò Vấp", Ward!$AI$2:$AJ$17, IF(J112="Huyện Hóc Môn", Ward!$AK$2:$AL$13, IF(J112="Huyện Nhà Bè", Ward!$AM$2:$AN$8, IF(J112="Quận Phú Nhuận", Ward!$AO$2:$AP$16, IF(J112="Quận Tân Bình", Ward!$AQ$2:$AR$16, IF(J112="Quận Tân Phú", Ward!$AS$2:$AT$12, IF(J112="Quận Thủ Đức", Ward!$AU$2:$AV$13)))))))))))))))))))))))), 2, FALSE), "")</f>
        <v/>
      </c>
      <c r="Y112" s="20" t="str">
        <f>IF(B112 &lt;&gt; "", VLOOKUP(B112, HospitalType!$A$2:$B$9, 2, FALSE), "")</f>
        <v/>
      </c>
    </row>
    <row r="113" spans="1:25" x14ac:dyDescent="0.25">
      <c r="A113" s="34"/>
      <c r="B113" s="24"/>
      <c r="C113" s="24"/>
      <c r="D113" s="24"/>
      <c r="E113" s="24"/>
      <c r="F113" s="24"/>
      <c r="G113" s="25"/>
      <c r="H113" s="25"/>
      <c r="I113" s="25"/>
      <c r="J113" s="25"/>
      <c r="K113" s="25"/>
      <c r="L113" s="25"/>
      <c r="M113" s="25"/>
      <c r="N113" s="25"/>
      <c r="O113" s="25"/>
      <c r="P113" s="25"/>
      <c r="Q113" s="24"/>
      <c r="R113" s="26"/>
      <c r="S113" s="26"/>
      <c r="T113" s="26"/>
      <c r="U113" s="27"/>
      <c r="V113" s="20" t="str">
        <f>IF(I113 &lt;&gt; "", VLOOKUP(I113, City!$A$1:$B$2, 2, FALSE), "" )</f>
        <v/>
      </c>
      <c r="W113" s="20" t="str">
        <f>IF(J113 &lt;&gt; "", VLOOKUP(J113, District!$A$1:$B$25, 2, FALSE), "")</f>
        <v/>
      </c>
      <c r="X113" s="21" t="str">
        <f>IF(K113 &lt;&gt; "", VLOOKUP(K113, IF(J113="Quận 1", Ward!$A$2:$B$11, IF(J113="Quận 2", Ward!$C$2:$D$12, IF(J113="Quận 3", Ward!$E$2:$F$15, IF(J113="Quận 4", Ward!$G$2:$H$16, IF(J113="Quận 5", Ward!$I$2:$J$16, IF(J113="Quận 6", Ward!$K$2:$L$15, IF(J113="Quận 7", Ward!$M$2:$N$11, IF(J113="Quận 8", Ward!$O$2:$P$17, IF(J113="Quận 9", Ward!$Q$2:$R$14, IF(J113="Quận 10", Ward!$S$2:$T$16, IF(J113="Quận 11", Ward!$U$2:$V$17, IF(J113="Quận 12", Ward!$W$2:$X$12, IF(J113="Huyện Bình Chánh", Ward!$Y$2:$Z$17, IF(J113="Quận Bình Tân", Ward!$AA$2:$AB$11, IF(J113="Quận Bình Thạnh", Ward!$AC$2:$AD$21, IF(J113="Huyện Cần Giờ", Ward!$AE$2:$AF$8, IF(J113="Huyện Củ Chi", Ward!$AG$2:$AH$22, IF(J113="Quận Gò Vấp", Ward!$AI$2:$AJ$17, IF(J113="Huyện Hóc Môn", Ward!$AK$2:$AL$13, IF(J113="Huyện Nhà Bè", Ward!$AM$2:$AN$8, IF(J113="Quận Phú Nhuận", Ward!$AO$2:$AP$16, IF(J113="Quận Tân Bình", Ward!$AQ$2:$AR$16, IF(J113="Quận Tân Phú", Ward!$AS$2:$AT$12, IF(J113="Quận Thủ Đức", Ward!$AU$2:$AV$13)))))))))))))))))))))))), 2, FALSE), "")</f>
        <v/>
      </c>
      <c r="Y113" s="20" t="str">
        <f>IF(B113 &lt;&gt; "", VLOOKUP(B113, HospitalType!$A$2:$B$9, 2, FALSE), "")</f>
        <v/>
      </c>
    </row>
    <row r="114" spans="1:25" x14ac:dyDescent="0.25">
      <c r="A114" s="34"/>
      <c r="B114" s="24"/>
      <c r="C114" s="24"/>
      <c r="D114" s="24"/>
      <c r="E114" s="24"/>
      <c r="F114" s="24"/>
      <c r="G114" s="25"/>
      <c r="H114" s="25"/>
      <c r="I114" s="25"/>
      <c r="J114" s="25"/>
      <c r="K114" s="25"/>
      <c r="L114" s="25"/>
      <c r="M114" s="25"/>
      <c r="N114" s="25"/>
      <c r="O114" s="25"/>
      <c r="P114" s="25"/>
      <c r="Q114" s="24"/>
      <c r="R114" s="26"/>
      <c r="S114" s="26"/>
      <c r="T114" s="26"/>
      <c r="U114" s="27"/>
      <c r="V114" s="20" t="str">
        <f>IF(I114 &lt;&gt; "", VLOOKUP(I114, City!$A$1:$B$2, 2, FALSE), "" )</f>
        <v/>
      </c>
      <c r="W114" s="20" t="str">
        <f>IF(J114 &lt;&gt; "", VLOOKUP(J114, District!$A$1:$B$25, 2, FALSE), "")</f>
        <v/>
      </c>
      <c r="X114" s="21" t="str">
        <f>IF(K114 &lt;&gt; "", VLOOKUP(K114, IF(J114="Quận 1", Ward!$A$2:$B$11, IF(J114="Quận 2", Ward!$C$2:$D$12, IF(J114="Quận 3", Ward!$E$2:$F$15, IF(J114="Quận 4", Ward!$G$2:$H$16, IF(J114="Quận 5", Ward!$I$2:$J$16, IF(J114="Quận 6", Ward!$K$2:$L$15, IF(J114="Quận 7", Ward!$M$2:$N$11, IF(J114="Quận 8", Ward!$O$2:$P$17, IF(J114="Quận 9", Ward!$Q$2:$R$14, IF(J114="Quận 10", Ward!$S$2:$T$16, IF(J114="Quận 11", Ward!$U$2:$V$17, IF(J114="Quận 12", Ward!$W$2:$X$12, IF(J114="Huyện Bình Chánh", Ward!$Y$2:$Z$17, IF(J114="Quận Bình Tân", Ward!$AA$2:$AB$11, IF(J114="Quận Bình Thạnh", Ward!$AC$2:$AD$21, IF(J114="Huyện Cần Giờ", Ward!$AE$2:$AF$8, IF(J114="Huyện Củ Chi", Ward!$AG$2:$AH$22, IF(J114="Quận Gò Vấp", Ward!$AI$2:$AJ$17, IF(J114="Huyện Hóc Môn", Ward!$AK$2:$AL$13, IF(J114="Huyện Nhà Bè", Ward!$AM$2:$AN$8, IF(J114="Quận Phú Nhuận", Ward!$AO$2:$AP$16, IF(J114="Quận Tân Bình", Ward!$AQ$2:$AR$16, IF(J114="Quận Tân Phú", Ward!$AS$2:$AT$12, IF(J114="Quận Thủ Đức", Ward!$AU$2:$AV$13)))))))))))))))))))))))), 2, FALSE), "")</f>
        <v/>
      </c>
      <c r="Y114" s="20" t="str">
        <f>IF(B114 &lt;&gt; "", VLOOKUP(B114, HospitalType!$A$2:$B$9, 2, FALSE), "")</f>
        <v/>
      </c>
    </row>
    <row r="115" spans="1:25" x14ac:dyDescent="0.25">
      <c r="A115" s="34"/>
      <c r="B115" s="24"/>
      <c r="C115" s="24"/>
      <c r="D115" s="24"/>
      <c r="E115" s="24"/>
      <c r="F115" s="24"/>
      <c r="G115" s="25"/>
      <c r="H115" s="25"/>
      <c r="I115" s="25"/>
      <c r="J115" s="25"/>
      <c r="K115" s="25"/>
      <c r="L115" s="25"/>
      <c r="M115" s="25"/>
      <c r="N115" s="25"/>
      <c r="O115" s="25"/>
      <c r="P115" s="25"/>
      <c r="Q115" s="24"/>
      <c r="R115" s="26"/>
      <c r="S115" s="26"/>
      <c r="T115" s="26"/>
      <c r="U115" s="27"/>
      <c r="V115" s="20" t="str">
        <f>IF(I115 &lt;&gt; "", VLOOKUP(I115, City!$A$1:$B$2, 2, FALSE), "" )</f>
        <v/>
      </c>
      <c r="W115" s="20" t="str">
        <f>IF(J115 &lt;&gt; "", VLOOKUP(J115, District!$A$1:$B$25, 2, FALSE), "")</f>
        <v/>
      </c>
      <c r="X115" s="21" t="str">
        <f>IF(K115 &lt;&gt; "", VLOOKUP(K115, IF(J115="Quận 1", Ward!$A$2:$B$11, IF(J115="Quận 2", Ward!$C$2:$D$12, IF(J115="Quận 3", Ward!$E$2:$F$15, IF(J115="Quận 4", Ward!$G$2:$H$16, IF(J115="Quận 5", Ward!$I$2:$J$16, IF(J115="Quận 6", Ward!$K$2:$L$15, IF(J115="Quận 7", Ward!$M$2:$N$11, IF(J115="Quận 8", Ward!$O$2:$P$17, IF(J115="Quận 9", Ward!$Q$2:$R$14, IF(J115="Quận 10", Ward!$S$2:$T$16, IF(J115="Quận 11", Ward!$U$2:$V$17, IF(J115="Quận 12", Ward!$W$2:$X$12, IF(J115="Huyện Bình Chánh", Ward!$Y$2:$Z$17, IF(J115="Quận Bình Tân", Ward!$AA$2:$AB$11, IF(J115="Quận Bình Thạnh", Ward!$AC$2:$AD$21, IF(J115="Huyện Cần Giờ", Ward!$AE$2:$AF$8, IF(J115="Huyện Củ Chi", Ward!$AG$2:$AH$22, IF(J115="Quận Gò Vấp", Ward!$AI$2:$AJ$17, IF(J115="Huyện Hóc Môn", Ward!$AK$2:$AL$13, IF(J115="Huyện Nhà Bè", Ward!$AM$2:$AN$8, IF(J115="Quận Phú Nhuận", Ward!$AO$2:$AP$16, IF(J115="Quận Tân Bình", Ward!$AQ$2:$AR$16, IF(J115="Quận Tân Phú", Ward!$AS$2:$AT$12, IF(J115="Quận Thủ Đức", Ward!$AU$2:$AV$13)))))))))))))))))))))))), 2, FALSE), "")</f>
        <v/>
      </c>
      <c r="Y115" s="20" t="str">
        <f>IF(B115 &lt;&gt; "", VLOOKUP(B115, HospitalType!$A$2:$B$9, 2, FALSE), "")</f>
        <v/>
      </c>
    </row>
    <row r="116" spans="1:25" x14ac:dyDescent="0.25">
      <c r="A116" s="34"/>
      <c r="B116" s="24"/>
      <c r="C116" s="24"/>
      <c r="D116" s="24"/>
      <c r="E116" s="24"/>
      <c r="F116" s="24"/>
      <c r="G116" s="25"/>
      <c r="H116" s="25"/>
      <c r="I116" s="25"/>
      <c r="J116" s="25"/>
      <c r="K116" s="25"/>
      <c r="L116" s="25"/>
      <c r="M116" s="25"/>
      <c r="N116" s="25"/>
      <c r="O116" s="25"/>
      <c r="P116" s="25"/>
      <c r="Q116" s="24"/>
      <c r="R116" s="26"/>
      <c r="S116" s="26"/>
      <c r="T116" s="26"/>
      <c r="U116" s="27"/>
      <c r="V116" s="20" t="str">
        <f>IF(I116 &lt;&gt; "", VLOOKUP(I116, City!$A$1:$B$2, 2, FALSE), "" )</f>
        <v/>
      </c>
      <c r="W116" s="20" t="str">
        <f>IF(J116 &lt;&gt; "", VLOOKUP(J116, District!$A$1:$B$25, 2, FALSE), "")</f>
        <v/>
      </c>
      <c r="X116" s="21" t="str">
        <f>IF(K116 &lt;&gt; "", VLOOKUP(K116, IF(J116="Quận 1", Ward!$A$2:$B$11, IF(J116="Quận 2", Ward!$C$2:$D$12, IF(J116="Quận 3", Ward!$E$2:$F$15, IF(J116="Quận 4", Ward!$G$2:$H$16, IF(J116="Quận 5", Ward!$I$2:$J$16, IF(J116="Quận 6", Ward!$K$2:$L$15, IF(J116="Quận 7", Ward!$M$2:$N$11, IF(J116="Quận 8", Ward!$O$2:$P$17, IF(J116="Quận 9", Ward!$Q$2:$R$14, IF(J116="Quận 10", Ward!$S$2:$T$16, IF(J116="Quận 11", Ward!$U$2:$V$17, IF(J116="Quận 12", Ward!$W$2:$X$12, IF(J116="Huyện Bình Chánh", Ward!$Y$2:$Z$17, IF(J116="Quận Bình Tân", Ward!$AA$2:$AB$11, IF(J116="Quận Bình Thạnh", Ward!$AC$2:$AD$21, IF(J116="Huyện Cần Giờ", Ward!$AE$2:$AF$8, IF(J116="Huyện Củ Chi", Ward!$AG$2:$AH$22, IF(J116="Quận Gò Vấp", Ward!$AI$2:$AJ$17, IF(J116="Huyện Hóc Môn", Ward!$AK$2:$AL$13, IF(J116="Huyện Nhà Bè", Ward!$AM$2:$AN$8, IF(J116="Quận Phú Nhuận", Ward!$AO$2:$AP$16, IF(J116="Quận Tân Bình", Ward!$AQ$2:$AR$16, IF(J116="Quận Tân Phú", Ward!$AS$2:$AT$12, IF(J116="Quận Thủ Đức", Ward!$AU$2:$AV$13)))))))))))))))))))))))), 2, FALSE), "")</f>
        <v/>
      </c>
      <c r="Y116" s="20" t="str">
        <f>IF(B116 &lt;&gt; "", VLOOKUP(B116, HospitalType!$A$2:$B$9, 2, FALSE), "")</f>
        <v/>
      </c>
    </row>
    <row r="117" spans="1:25" x14ac:dyDescent="0.25">
      <c r="A117" s="34"/>
      <c r="B117" s="24"/>
      <c r="C117" s="24"/>
      <c r="D117" s="24"/>
      <c r="E117" s="24"/>
      <c r="F117" s="24"/>
      <c r="G117" s="25"/>
      <c r="H117" s="25"/>
      <c r="I117" s="25"/>
      <c r="J117" s="25"/>
      <c r="K117" s="25"/>
      <c r="L117" s="25"/>
      <c r="M117" s="25"/>
      <c r="N117" s="25"/>
      <c r="O117" s="25"/>
      <c r="P117" s="25"/>
      <c r="Q117" s="24"/>
      <c r="R117" s="26"/>
      <c r="S117" s="26"/>
      <c r="T117" s="26"/>
      <c r="U117" s="27"/>
      <c r="V117" s="20" t="str">
        <f>IF(I117 &lt;&gt; "", VLOOKUP(I117, City!$A$1:$B$2, 2, FALSE), "" )</f>
        <v/>
      </c>
      <c r="W117" s="20" t="str">
        <f>IF(J117 &lt;&gt; "", VLOOKUP(J117, District!$A$1:$B$25, 2, FALSE), "")</f>
        <v/>
      </c>
      <c r="X117" s="21" t="str">
        <f>IF(K117 &lt;&gt; "", VLOOKUP(K117, IF(J117="Quận 1", Ward!$A$2:$B$11, IF(J117="Quận 2", Ward!$C$2:$D$12, IF(J117="Quận 3", Ward!$E$2:$F$15, IF(J117="Quận 4", Ward!$G$2:$H$16, IF(J117="Quận 5", Ward!$I$2:$J$16, IF(J117="Quận 6", Ward!$K$2:$L$15, IF(J117="Quận 7", Ward!$M$2:$N$11, IF(J117="Quận 8", Ward!$O$2:$P$17, IF(J117="Quận 9", Ward!$Q$2:$R$14, IF(J117="Quận 10", Ward!$S$2:$T$16, IF(J117="Quận 11", Ward!$U$2:$V$17, IF(J117="Quận 12", Ward!$W$2:$X$12, IF(J117="Huyện Bình Chánh", Ward!$Y$2:$Z$17, IF(J117="Quận Bình Tân", Ward!$AA$2:$AB$11, IF(J117="Quận Bình Thạnh", Ward!$AC$2:$AD$21, IF(J117="Huyện Cần Giờ", Ward!$AE$2:$AF$8, IF(J117="Huyện Củ Chi", Ward!$AG$2:$AH$22, IF(J117="Quận Gò Vấp", Ward!$AI$2:$AJ$17, IF(J117="Huyện Hóc Môn", Ward!$AK$2:$AL$13, IF(J117="Huyện Nhà Bè", Ward!$AM$2:$AN$8, IF(J117="Quận Phú Nhuận", Ward!$AO$2:$AP$16, IF(J117="Quận Tân Bình", Ward!$AQ$2:$AR$16, IF(J117="Quận Tân Phú", Ward!$AS$2:$AT$12, IF(J117="Quận Thủ Đức", Ward!$AU$2:$AV$13)))))))))))))))))))))))), 2, FALSE), "")</f>
        <v/>
      </c>
      <c r="Y117" s="20" t="str">
        <f>IF(B117 &lt;&gt; "", VLOOKUP(B117, HospitalType!$A$2:$B$9, 2, FALSE), "")</f>
        <v/>
      </c>
    </row>
    <row r="118" spans="1:25" x14ac:dyDescent="0.25">
      <c r="A118" s="34"/>
      <c r="B118" s="24"/>
      <c r="C118" s="24"/>
      <c r="D118" s="24"/>
      <c r="E118" s="24"/>
      <c r="F118" s="24"/>
      <c r="G118" s="25"/>
      <c r="H118" s="25"/>
      <c r="I118" s="25"/>
      <c r="J118" s="25"/>
      <c r="K118" s="25"/>
      <c r="L118" s="25"/>
      <c r="M118" s="25"/>
      <c r="N118" s="25"/>
      <c r="O118" s="25"/>
      <c r="P118" s="25"/>
      <c r="Q118" s="24"/>
      <c r="R118" s="26"/>
      <c r="S118" s="26"/>
      <c r="T118" s="26"/>
      <c r="U118" s="27"/>
      <c r="V118" s="20" t="str">
        <f>IF(I118 &lt;&gt; "", VLOOKUP(I118, City!$A$1:$B$2, 2, FALSE), "" )</f>
        <v/>
      </c>
      <c r="W118" s="20" t="str">
        <f>IF(J118 &lt;&gt; "", VLOOKUP(J118, District!$A$1:$B$25, 2, FALSE), "")</f>
        <v/>
      </c>
      <c r="X118" s="21" t="str">
        <f>IF(K118 &lt;&gt; "", VLOOKUP(K118, IF(J118="Quận 1", Ward!$A$2:$B$11, IF(J118="Quận 2", Ward!$C$2:$D$12, IF(J118="Quận 3", Ward!$E$2:$F$15, IF(J118="Quận 4", Ward!$G$2:$H$16, IF(J118="Quận 5", Ward!$I$2:$J$16, IF(J118="Quận 6", Ward!$K$2:$L$15, IF(J118="Quận 7", Ward!$M$2:$N$11, IF(J118="Quận 8", Ward!$O$2:$P$17, IF(J118="Quận 9", Ward!$Q$2:$R$14, IF(J118="Quận 10", Ward!$S$2:$T$16, IF(J118="Quận 11", Ward!$U$2:$V$17, IF(J118="Quận 12", Ward!$W$2:$X$12, IF(J118="Huyện Bình Chánh", Ward!$Y$2:$Z$17, IF(J118="Quận Bình Tân", Ward!$AA$2:$AB$11, IF(J118="Quận Bình Thạnh", Ward!$AC$2:$AD$21, IF(J118="Huyện Cần Giờ", Ward!$AE$2:$AF$8, IF(J118="Huyện Củ Chi", Ward!$AG$2:$AH$22, IF(J118="Quận Gò Vấp", Ward!$AI$2:$AJ$17, IF(J118="Huyện Hóc Môn", Ward!$AK$2:$AL$13, IF(J118="Huyện Nhà Bè", Ward!$AM$2:$AN$8, IF(J118="Quận Phú Nhuận", Ward!$AO$2:$AP$16, IF(J118="Quận Tân Bình", Ward!$AQ$2:$AR$16, IF(J118="Quận Tân Phú", Ward!$AS$2:$AT$12, IF(J118="Quận Thủ Đức", Ward!$AU$2:$AV$13)))))))))))))))))))))))), 2, FALSE), "")</f>
        <v/>
      </c>
      <c r="Y118" s="20" t="str">
        <f>IF(B118 &lt;&gt; "", VLOOKUP(B118, HospitalType!$A$2:$B$9, 2, FALSE), "")</f>
        <v/>
      </c>
    </row>
    <row r="119" spans="1:25" x14ac:dyDescent="0.25">
      <c r="A119" s="34"/>
      <c r="B119" s="24"/>
      <c r="C119" s="24"/>
      <c r="D119" s="24"/>
      <c r="E119" s="24"/>
      <c r="F119" s="24"/>
      <c r="G119" s="25"/>
      <c r="H119" s="25"/>
      <c r="I119" s="25"/>
      <c r="J119" s="25"/>
      <c r="K119" s="25"/>
      <c r="L119" s="25"/>
      <c r="M119" s="25"/>
      <c r="N119" s="25"/>
      <c r="O119" s="25"/>
      <c r="P119" s="25"/>
      <c r="Q119" s="24"/>
      <c r="R119" s="26"/>
      <c r="S119" s="26"/>
      <c r="T119" s="26"/>
      <c r="U119" s="27"/>
      <c r="V119" s="20" t="str">
        <f>IF(I119 &lt;&gt; "", VLOOKUP(I119, City!$A$1:$B$2, 2, FALSE), "" )</f>
        <v/>
      </c>
      <c r="W119" s="20" t="str">
        <f>IF(J119 &lt;&gt; "", VLOOKUP(J119, District!$A$1:$B$25, 2, FALSE), "")</f>
        <v/>
      </c>
      <c r="X119" s="21" t="str">
        <f>IF(K119 &lt;&gt; "", VLOOKUP(K119, IF(J119="Quận 1", Ward!$A$2:$B$11, IF(J119="Quận 2", Ward!$C$2:$D$12, IF(J119="Quận 3", Ward!$E$2:$F$15, IF(J119="Quận 4", Ward!$G$2:$H$16, IF(J119="Quận 5", Ward!$I$2:$J$16, IF(J119="Quận 6", Ward!$K$2:$L$15, IF(J119="Quận 7", Ward!$M$2:$N$11, IF(J119="Quận 8", Ward!$O$2:$P$17, IF(J119="Quận 9", Ward!$Q$2:$R$14, IF(J119="Quận 10", Ward!$S$2:$T$16, IF(J119="Quận 11", Ward!$U$2:$V$17, IF(J119="Quận 12", Ward!$W$2:$X$12, IF(J119="Huyện Bình Chánh", Ward!$Y$2:$Z$17, IF(J119="Quận Bình Tân", Ward!$AA$2:$AB$11, IF(J119="Quận Bình Thạnh", Ward!$AC$2:$AD$21, IF(J119="Huyện Cần Giờ", Ward!$AE$2:$AF$8, IF(J119="Huyện Củ Chi", Ward!$AG$2:$AH$22, IF(J119="Quận Gò Vấp", Ward!$AI$2:$AJ$17, IF(J119="Huyện Hóc Môn", Ward!$AK$2:$AL$13, IF(J119="Huyện Nhà Bè", Ward!$AM$2:$AN$8, IF(J119="Quận Phú Nhuận", Ward!$AO$2:$AP$16, IF(J119="Quận Tân Bình", Ward!$AQ$2:$AR$16, IF(J119="Quận Tân Phú", Ward!$AS$2:$AT$12, IF(J119="Quận Thủ Đức", Ward!$AU$2:$AV$13)))))))))))))))))))))))), 2, FALSE), "")</f>
        <v/>
      </c>
      <c r="Y119" s="20" t="str">
        <f>IF(B119 &lt;&gt; "", VLOOKUP(B119, HospitalType!$A$2:$B$9, 2, FALSE), "")</f>
        <v/>
      </c>
    </row>
    <row r="120" spans="1:25" x14ac:dyDescent="0.25">
      <c r="A120" s="34"/>
      <c r="B120" s="24"/>
      <c r="C120" s="24"/>
      <c r="D120" s="24"/>
      <c r="E120" s="24"/>
      <c r="F120" s="24"/>
      <c r="G120" s="25"/>
      <c r="H120" s="25"/>
      <c r="I120" s="25"/>
      <c r="J120" s="25"/>
      <c r="K120" s="25"/>
      <c r="L120" s="25"/>
      <c r="M120" s="25"/>
      <c r="N120" s="25"/>
      <c r="O120" s="25"/>
      <c r="P120" s="25"/>
      <c r="Q120" s="24"/>
      <c r="R120" s="26"/>
      <c r="S120" s="26"/>
      <c r="T120" s="26"/>
      <c r="U120" s="27"/>
      <c r="V120" s="20" t="str">
        <f>IF(I120 &lt;&gt; "", VLOOKUP(I120, City!$A$1:$B$2, 2, FALSE), "" )</f>
        <v/>
      </c>
      <c r="W120" s="20" t="str">
        <f>IF(J120 &lt;&gt; "", VLOOKUP(J120, District!$A$1:$B$25, 2, FALSE), "")</f>
        <v/>
      </c>
      <c r="X120" s="21" t="str">
        <f>IF(K120 &lt;&gt; "", VLOOKUP(K120, IF(J120="Quận 1", Ward!$A$2:$B$11, IF(J120="Quận 2", Ward!$C$2:$D$12, IF(J120="Quận 3", Ward!$E$2:$F$15, IF(J120="Quận 4", Ward!$G$2:$H$16, IF(J120="Quận 5", Ward!$I$2:$J$16, IF(J120="Quận 6", Ward!$K$2:$L$15, IF(J120="Quận 7", Ward!$M$2:$N$11, IF(J120="Quận 8", Ward!$O$2:$P$17, IF(J120="Quận 9", Ward!$Q$2:$R$14, IF(J120="Quận 10", Ward!$S$2:$T$16, IF(J120="Quận 11", Ward!$U$2:$V$17, IF(J120="Quận 12", Ward!$W$2:$X$12, IF(J120="Huyện Bình Chánh", Ward!$Y$2:$Z$17, IF(J120="Quận Bình Tân", Ward!$AA$2:$AB$11, IF(J120="Quận Bình Thạnh", Ward!$AC$2:$AD$21, IF(J120="Huyện Cần Giờ", Ward!$AE$2:$AF$8, IF(J120="Huyện Củ Chi", Ward!$AG$2:$AH$22, IF(J120="Quận Gò Vấp", Ward!$AI$2:$AJ$17, IF(J120="Huyện Hóc Môn", Ward!$AK$2:$AL$13, IF(J120="Huyện Nhà Bè", Ward!$AM$2:$AN$8, IF(J120="Quận Phú Nhuận", Ward!$AO$2:$AP$16, IF(J120="Quận Tân Bình", Ward!$AQ$2:$AR$16, IF(J120="Quận Tân Phú", Ward!$AS$2:$AT$12, IF(J120="Quận Thủ Đức", Ward!$AU$2:$AV$13)))))))))))))))))))))))), 2, FALSE), "")</f>
        <v/>
      </c>
      <c r="Y120" s="20" t="str">
        <f>IF(B120 &lt;&gt; "", VLOOKUP(B120, HospitalType!$A$2:$B$9, 2, FALSE), "")</f>
        <v/>
      </c>
    </row>
    <row r="121" spans="1:25" x14ac:dyDescent="0.25">
      <c r="A121" s="34"/>
      <c r="B121" s="24"/>
      <c r="C121" s="24"/>
      <c r="D121" s="24"/>
      <c r="E121" s="24"/>
      <c r="F121" s="24"/>
      <c r="G121" s="25"/>
      <c r="H121" s="25"/>
      <c r="I121" s="25"/>
      <c r="J121" s="25"/>
      <c r="K121" s="25"/>
      <c r="L121" s="25"/>
      <c r="M121" s="25"/>
      <c r="N121" s="25"/>
      <c r="O121" s="25"/>
      <c r="P121" s="25"/>
      <c r="Q121" s="24"/>
      <c r="R121" s="26"/>
      <c r="S121" s="26"/>
      <c r="T121" s="26"/>
      <c r="U121" s="27"/>
      <c r="V121" s="20" t="str">
        <f>IF(I121 &lt;&gt; "", VLOOKUP(I121, City!$A$1:$B$2, 2, FALSE), "" )</f>
        <v/>
      </c>
      <c r="W121" s="20" t="str">
        <f>IF(J121 &lt;&gt; "", VLOOKUP(J121, District!$A$1:$B$25, 2, FALSE), "")</f>
        <v/>
      </c>
      <c r="X121" s="21" t="str">
        <f>IF(K121 &lt;&gt; "", VLOOKUP(K121, IF(J121="Quận 1", Ward!$A$2:$B$11, IF(J121="Quận 2", Ward!$C$2:$D$12, IF(J121="Quận 3", Ward!$E$2:$F$15, IF(J121="Quận 4", Ward!$G$2:$H$16, IF(J121="Quận 5", Ward!$I$2:$J$16, IF(J121="Quận 6", Ward!$K$2:$L$15, IF(J121="Quận 7", Ward!$M$2:$N$11, IF(J121="Quận 8", Ward!$O$2:$P$17, IF(J121="Quận 9", Ward!$Q$2:$R$14, IF(J121="Quận 10", Ward!$S$2:$T$16, IF(J121="Quận 11", Ward!$U$2:$V$17, IF(J121="Quận 12", Ward!$W$2:$X$12, IF(J121="Huyện Bình Chánh", Ward!$Y$2:$Z$17, IF(J121="Quận Bình Tân", Ward!$AA$2:$AB$11, IF(J121="Quận Bình Thạnh", Ward!$AC$2:$AD$21, IF(J121="Huyện Cần Giờ", Ward!$AE$2:$AF$8, IF(J121="Huyện Củ Chi", Ward!$AG$2:$AH$22, IF(J121="Quận Gò Vấp", Ward!$AI$2:$AJ$17, IF(J121="Huyện Hóc Môn", Ward!$AK$2:$AL$13, IF(J121="Huyện Nhà Bè", Ward!$AM$2:$AN$8, IF(J121="Quận Phú Nhuận", Ward!$AO$2:$AP$16, IF(J121="Quận Tân Bình", Ward!$AQ$2:$AR$16, IF(J121="Quận Tân Phú", Ward!$AS$2:$AT$12, IF(J121="Quận Thủ Đức", Ward!$AU$2:$AV$13)))))))))))))))))))))))), 2, FALSE), "")</f>
        <v/>
      </c>
      <c r="Y121" s="20" t="str">
        <f>IF(B121 &lt;&gt; "", VLOOKUP(B121, HospitalType!$A$2:$B$9, 2, FALSE), "")</f>
        <v/>
      </c>
    </row>
    <row r="122" spans="1:25" x14ac:dyDescent="0.25">
      <c r="A122" s="34"/>
      <c r="B122" s="24"/>
      <c r="C122" s="24"/>
      <c r="D122" s="24"/>
      <c r="E122" s="24"/>
      <c r="F122" s="24"/>
      <c r="G122" s="25"/>
      <c r="H122" s="25"/>
      <c r="I122" s="25"/>
      <c r="J122" s="25"/>
      <c r="K122" s="25"/>
      <c r="L122" s="25"/>
      <c r="M122" s="25"/>
      <c r="N122" s="25"/>
      <c r="O122" s="25"/>
      <c r="P122" s="25"/>
      <c r="Q122" s="24"/>
      <c r="R122" s="26"/>
      <c r="S122" s="26"/>
      <c r="T122" s="26"/>
      <c r="U122" s="27"/>
      <c r="V122" s="20" t="str">
        <f>IF(I122 &lt;&gt; "", VLOOKUP(I122, City!$A$1:$B$2, 2, FALSE), "" )</f>
        <v/>
      </c>
      <c r="W122" s="20" t="str">
        <f>IF(J122 &lt;&gt; "", VLOOKUP(J122, District!$A$1:$B$25, 2, FALSE), "")</f>
        <v/>
      </c>
      <c r="X122" s="21" t="str">
        <f>IF(K122 &lt;&gt; "", VLOOKUP(K122, IF(J122="Quận 1", Ward!$A$2:$B$11, IF(J122="Quận 2", Ward!$C$2:$D$12, IF(J122="Quận 3", Ward!$E$2:$F$15, IF(J122="Quận 4", Ward!$G$2:$H$16, IF(J122="Quận 5", Ward!$I$2:$J$16, IF(J122="Quận 6", Ward!$K$2:$L$15, IF(J122="Quận 7", Ward!$M$2:$N$11, IF(J122="Quận 8", Ward!$O$2:$P$17, IF(J122="Quận 9", Ward!$Q$2:$R$14, IF(J122="Quận 10", Ward!$S$2:$T$16, IF(J122="Quận 11", Ward!$U$2:$V$17, IF(J122="Quận 12", Ward!$W$2:$X$12, IF(J122="Huyện Bình Chánh", Ward!$Y$2:$Z$17, IF(J122="Quận Bình Tân", Ward!$AA$2:$AB$11, IF(J122="Quận Bình Thạnh", Ward!$AC$2:$AD$21, IF(J122="Huyện Cần Giờ", Ward!$AE$2:$AF$8, IF(J122="Huyện Củ Chi", Ward!$AG$2:$AH$22, IF(J122="Quận Gò Vấp", Ward!$AI$2:$AJ$17, IF(J122="Huyện Hóc Môn", Ward!$AK$2:$AL$13, IF(J122="Huyện Nhà Bè", Ward!$AM$2:$AN$8, IF(J122="Quận Phú Nhuận", Ward!$AO$2:$AP$16, IF(J122="Quận Tân Bình", Ward!$AQ$2:$AR$16, IF(J122="Quận Tân Phú", Ward!$AS$2:$AT$12, IF(J122="Quận Thủ Đức", Ward!$AU$2:$AV$13)))))))))))))))))))))))), 2, FALSE), "")</f>
        <v/>
      </c>
      <c r="Y122" s="20" t="str">
        <f>IF(B122 &lt;&gt; "", VLOOKUP(B122, HospitalType!$A$2:$B$9, 2, FALSE), "")</f>
        <v/>
      </c>
    </row>
    <row r="123" spans="1:25" x14ac:dyDescent="0.25">
      <c r="A123" s="34"/>
      <c r="B123" s="24"/>
      <c r="C123" s="24"/>
      <c r="D123" s="24"/>
      <c r="E123" s="24"/>
      <c r="F123" s="24"/>
      <c r="G123" s="25"/>
      <c r="H123" s="25"/>
      <c r="I123" s="25"/>
      <c r="J123" s="25"/>
      <c r="K123" s="25"/>
      <c r="L123" s="25"/>
      <c r="M123" s="25"/>
      <c r="N123" s="25"/>
      <c r="O123" s="25"/>
      <c r="P123" s="25"/>
      <c r="Q123" s="24"/>
      <c r="R123" s="26"/>
      <c r="S123" s="26"/>
      <c r="T123" s="26"/>
      <c r="U123" s="27"/>
      <c r="V123" s="20" t="str">
        <f>IF(I123 &lt;&gt; "", VLOOKUP(I123, City!$A$1:$B$2, 2, FALSE), "" )</f>
        <v/>
      </c>
      <c r="W123" s="20" t="str">
        <f>IF(J123 &lt;&gt; "", VLOOKUP(J123, District!$A$1:$B$25, 2, FALSE), "")</f>
        <v/>
      </c>
      <c r="X123" s="21" t="str">
        <f>IF(K123 &lt;&gt; "", VLOOKUP(K123, IF(J123="Quận 1", Ward!$A$2:$B$11, IF(J123="Quận 2", Ward!$C$2:$D$12, IF(J123="Quận 3", Ward!$E$2:$F$15, IF(J123="Quận 4", Ward!$G$2:$H$16, IF(J123="Quận 5", Ward!$I$2:$J$16, IF(J123="Quận 6", Ward!$K$2:$L$15, IF(J123="Quận 7", Ward!$M$2:$N$11, IF(J123="Quận 8", Ward!$O$2:$P$17, IF(J123="Quận 9", Ward!$Q$2:$R$14, IF(J123="Quận 10", Ward!$S$2:$T$16, IF(J123="Quận 11", Ward!$U$2:$V$17, IF(J123="Quận 12", Ward!$W$2:$X$12, IF(J123="Huyện Bình Chánh", Ward!$Y$2:$Z$17, IF(J123="Quận Bình Tân", Ward!$AA$2:$AB$11, IF(J123="Quận Bình Thạnh", Ward!$AC$2:$AD$21, IF(J123="Huyện Cần Giờ", Ward!$AE$2:$AF$8, IF(J123="Huyện Củ Chi", Ward!$AG$2:$AH$22, IF(J123="Quận Gò Vấp", Ward!$AI$2:$AJ$17, IF(J123="Huyện Hóc Môn", Ward!$AK$2:$AL$13, IF(J123="Huyện Nhà Bè", Ward!$AM$2:$AN$8, IF(J123="Quận Phú Nhuận", Ward!$AO$2:$AP$16, IF(J123="Quận Tân Bình", Ward!$AQ$2:$AR$16, IF(J123="Quận Tân Phú", Ward!$AS$2:$AT$12, IF(J123="Quận Thủ Đức", Ward!$AU$2:$AV$13)))))))))))))))))))))))), 2, FALSE), "")</f>
        <v/>
      </c>
      <c r="Y123" s="20" t="str">
        <f>IF(B123 &lt;&gt; "", VLOOKUP(B123, HospitalType!$A$2:$B$9, 2, FALSE), "")</f>
        <v/>
      </c>
    </row>
    <row r="124" spans="1:25" x14ac:dyDescent="0.25">
      <c r="A124" s="34"/>
      <c r="B124" s="24"/>
      <c r="C124" s="24"/>
      <c r="D124" s="24"/>
      <c r="E124" s="24"/>
      <c r="F124" s="24"/>
      <c r="G124" s="25"/>
      <c r="H124" s="25"/>
      <c r="I124" s="25"/>
      <c r="J124" s="25"/>
      <c r="K124" s="25"/>
      <c r="L124" s="25"/>
      <c r="M124" s="25"/>
      <c r="N124" s="25"/>
      <c r="O124" s="25"/>
      <c r="P124" s="25"/>
      <c r="Q124" s="24"/>
      <c r="R124" s="26"/>
      <c r="S124" s="26"/>
      <c r="T124" s="26"/>
      <c r="U124" s="27"/>
      <c r="V124" s="20" t="str">
        <f>IF(I124 &lt;&gt; "", VLOOKUP(I124, City!$A$1:$B$2, 2, FALSE), "" )</f>
        <v/>
      </c>
      <c r="W124" s="20" t="str">
        <f>IF(J124 &lt;&gt; "", VLOOKUP(J124, District!$A$1:$B$25, 2, FALSE), "")</f>
        <v/>
      </c>
      <c r="X124" s="21" t="str">
        <f>IF(K124 &lt;&gt; "", VLOOKUP(K124, IF(J124="Quận 1", Ward!$A$2:$B$11, IF(J124="Quận 2", Ward!$C$2:$D$12, IF(J124="Quận 3", Ward!$E$2:$F$15, IF(J124="Quận 4", Ward!$G$2:$H$16, IF(J124="Quận 5", Ward!$I$2:$J$16, IF(J124="Quận 6", Ward!$K$2:$L$15, IF(J124="Quận 7", Ward!$M$2:$N$11, IF(J124="Quận 8", Ward!$O$2:$P$17, IF(J124="Quận 9", Ward!$Q$2:$R$14, IF(J124="Quận 10", Ward!$S$2:$T$16, IF(J124="Quận 11", Ward!$U$2:$V$17, IF(J124="Quận 12", Ward!$W$2:$X$12, IF(J124="Huyện Bình Chánh", Ward!$Y$2:$Z$17, IF(J124="Quận Bình Tân", Ward!$AA$2:$AB$11, IF(J124="Quận Bình Thạnh", Ward!$AC$2:$AD$21, IF(J124="Huyện Cần Giờ", Ward!$AE$2:$AF$8, IF(J124="Huyện Củ Chi", Ward!$AG$2:$AH$22, IF(J124="Quận Gò Vấp", Ward!$AI$2:$AJ$17, IF(J124="Huyện Hóc Môn", Ward!$AK$2:$AL$13, IF(J124="Huyện Nhà Bè", Ward!$AM$2:$AN$8, IF(J124="Quận Phú Nhuận", Ward!$AO$2:$AP$16, IF(J124="Quận Tân Bình", Ward!$AQ$2:$AR$16, IF(J124="Quận Tân Phú", Ward!$AS$2:$AT$12, IF(J124="Quận Thủ Đức", Ward!$AU$2:$AV$13)))))))))))))))))))))))), 2, FALSE), "")</f>
        <v/>
      </c>
      <c r="Y124" s="20" t="str">
        <f>IF(B124 &lt;&gt; "", VLOOKUP(B124, HospitalType!$A$2:$B$9, 2, FALSE), "")</f>
        <v/>
      </c>
    </row>
    <row r="125" spans="1:25" x14ac:dyDescent="0.25">
      <c r="A125" s="34"/>
      <c r="B125" s="24"/>
      <c r="C125" s="24"/>
      <c r="D125" s="24"/>
      <c r="E125" s="24"/>
      <c r="F125" s="24"/>
      <c r="G125" s="25"/>
      <c r="H125" s="25"/>
      <c r="I125" s="25"/>
      <c r="J125" s="25"/>
      <c r="K125" s="25"/>
      <c r="L125" s="25"/>
      <c r="M125" s="25"/>
      <c r="N125" s="25"/>
      <c r="O125" s="25"/>
      <c r="P125" s="25"/>
      <c r="Q125" s="24"/>
      <c r="R125" s="26"/>
      <c r="S125" s="26"/>
      <c r="T125" s="26"/>
      <c r="U125" s="27"/>
      <c r="V125" s="20" t="str">
        <f>IF(I125 &lt;&gt; "", VLOOKUP(I125, City!$A$1:$B$2, 2, FALSE), "" )</f>
        <v/>
      </c>
      <c r="W125" s="20" t="str">
        <f>IF(J125 &lt;&gt; "", VLOOKUP(J125, District!$A$1:$B$25, 2, FALSE), "")</f>
        <v/>
      </c>
      <c r="X125" s="21" t="str">
        <f>IF(K125 &lt;&gt; "", VLOOKUP(K125, IF(J125="Quận 1", Ward!$A$2:$B$11, IF(J125="Quận 2", Ward!$C$2:$D$12, IF(J125="Quận 3", Ward!$E$2:$F$15, IF(J125="Quận 4", Ward!$G$2:$H$16, IF(J125="Quận 5", Ward!$I$2:$J$16, IF(J125="Quận 6", Ward!$K$2:$L$15, IF(J125="Quận 7", Ward!$M$2:$N$11, IF(J125="Quận 8", Ward!$O$2:$P$17, IF(J125="Quận 9", Ward!$Q$2:$R$14, IF(J125="Quận 10", Ward!$S$2:$T$16, IF(J125="Quận 11", Ward!$U$2:$V$17, IF(J125="Quận 12", Ward!$W$2:$X$12, IF(J125="Huyện Bình Chánh", Ward!$Y$2:$Z$17, IF(J125="Quận Bình Tân", Ward!$AA$2:$AB$11, IF(J125="Quận Bình Thạnh", Ward!$AC$2:$AD$21, IF(J125="Huyện Cần Giờ", Ward!$AE$2:$AF$8, IF(J125="Huyện Củ Chi", Ward!$AG$2:$AH$22, IF(J125="Quận Gò Vấp", Ward!$AI$2:$AJ$17, IF(J125="Huyện Hóc Môn", Ward!$AK$2:$AL$13, IF(J125="Huyện Nhà Bè", Ward!$AM$2:$AN$8, IF(J125="Quận Phú Nhuận", Ward!$AO$2:$AP$16, IF(J125="Quận Tân Bình", Ward!$AQ$2:$AR$16, IF(J125="Quận Tân Phú", Ward!$AS$2:$AT$12, IF(J125="Quận Thủ Đức", Ward!$AU$2:$AV$13)))))))))))))))))))))))), 2, FALSE), "")</f>
        <v/>
      </c>
      <c r="Y125" s="20" t="str">
        <f>IF(B125 &lt;&gt; "", VLOOKUP(B125, HospitalType!$A$2:$B$9, 2, FALSE), "")</f>
        <v/>
      </c>
    </row>
    <row r="126" spans="1:25" x14ac:dyDescent="0.25">
      <c r="A126" s="34"/>
      <c r="B126" s="24"/>
      <c r="C126" s="24"/>
      <c r="D126" s="24"/>
      <c r="E126" s="24"/>
      <c r="F126" s="24"/>
      <c r="G126" s="25"/>
      <c r="H126" s="25"/>
      <c r="I126" s="25"/>
      <c r="J126" s="25"/>
      <c r="K126" s="25"/>
      <c r="L126" s="25"/>
      <c r="M126" s="25"/>
      <c r="N126" s="25"/>
      <c r="O126" s="25"/>
      <c r="P126" s="25"/>
      <c r="Q126" s="24"/>
      <c r="R126" s="26"/>
      <c r="S126" s="26"/>
      <c r="T126" s="26"/>
      <c r="U126" s="27"/>
      <c r="V126" s="20" t="str">
        <f>IF(I126 &lt;&gt; "", VLOOKUP(I126, City!$A$1:$B$2, 2, FALSE), "" )</f>
        <v/>
      </c>
      <c r="W126" s="20" t="str">
        <f>IF(J126 &lt;&gt; "", VLOOKUP(J126, District!$A$1:$B$25, 2, FALSE), "")</f>
        <v/>
      </c>
      <c r="X126" s="21" t="str">
        <f>IF(K126 &lt;&gt; "", VLOOKUP(K126, IF(J126="Quận 1", Ward!$A$2:$B$11, IF(J126="Quận 2", Ward!$C$2:$D$12, IF(J126="Quận 3", Ward!$E$2:$F$15, IF(J126="Quận 4", Ward!$G$2:$H$16, IF(J126="Quận 5", Ward!$I$2:$J$16, IF(J126="Quận 6", Ward!$K$2:$L$15, IF(J126="Quận 7", Ward!$M$2:$N$11, IF(J126="Quận 8", Ward!$O$2:$P$17, IF(J126="Quận 9", Ward!$Q$2:$R$14, IF(J126="Quận 10", Ward!$S$2:$T$16, IF(J126="Quận 11", Ward!$U$2:$V$17, IF(J126="Quận 12", Ward!$W$2:$X$12, IF(J126="Huyện Bình Chánh", Ward!$Y$2:$Z$17, IF(J126="Quận Bình Tân", Ward!$AA$2:$AB$11, IF(J126="Quận Bình Thạnh", Ward!$AC$2:$AD$21, IF(J126="Huyện Cần Giờ", Ward!$AE$2:$AF$8, IF(J126="Huyện Củ Chi", Ward!$AG$2:$AH$22, IF(J126="Quận Gò Vấp", Ward!$AI$2:$AJ$17, IF(J126="Huyện Hóc Môn", Ward!$AK$2:$AL$13, IF(J126="Huyện Nhà Bè", Ward!$AM$2:$AN$8, IF(J126="Quận Phú Nhuận", Ward!$AO$2:$AP$16, IF(J126="Quận Tân Bình", Ward!$AQ$2:$AR$16, IF(J126="Quận Tân Phú", Ward!$AS$2:$AT$12, IF(J126="Quận Thủ Đức", Ward!$AU$2:$AV$13)))))))))))))))))))))))), 2, FALSE), "")</f>
        <v/>
      </c>
      <c r="Y126" s="20" t="str">
        <f>IF(B126 &lt;&gt; "", VLOOKUP(B126, HospitalType!$A$2:$B$9, 2, FALSE), "")</f>
        <v/>
      </c>
    </row>
    <row r="127" spans="1:25" x14ac:dyDescent="0.25">
      <c r="A127" s="34"/>
      <c r="B127" s="24"/>
      <c r="C127" s="24"/>
      <c r="D127" s="24"/>
      <c r="E127" s="24"/>
      <c r="F127" s="24"/>
      <c r="G127" s="25"/>
      <c r="H127" s="25"/>
      <c r="I127" s="25"/>
      <c r="J127" s="25"/>
      <c r="K127" s="25"/>
      <c r="L127" s="25"/>
      <c r="M127" s="25"/>
      <c r="N127" s="25"/>
      <c r="O127" s="25"/>
      <c r="P127" s="25"/>
      <c r="Q127" s="24"/>
      <c r="R127" s="26"/>
      <c r="S127" s="26"/>
      <c r="T127" s="26"/>
      <c r="U127" s="27"/>
      <c r="V127" s="20" t="str">
        <f>IF(I127 &lt;&gt; "", VLOOKUP(I127, City!$A$1:$B$2, 2, FALSE), "" )</f>
        <v/>
      </c>
      <c r="W127" s="20" t="str">
        <f>IF(J127 &lt;&gt; "", VLOOKUP(J127, District!$A$1:$B$25, 2, FALSE), "")</f>
        <v/>
      </c>
      <c r="X127" s="21" t="str">
        <f>IF(K127 &lt;&gt; "", VLOOKUP(K127, IF(J127="Quận 1", Ward!$A$2:$B$11, IF(J127="Quận 2", Ward!$C$2:$D$12, IF(J127="Quận 3", Ward!$E$2:$F$15, IF(J127="Quận 4", Ward!$G$2:$H$16, IF(J127="Quận 5", Ward!$I$2:$J$16, IF(J127="Quận 6", Ward!$K$2:$L$15, IF(J127="Quận 7", Ward!$M$2:$N$11, IF(J127="Quận 8", Ward!$O$2:$P$17, IF(J127="Quận 9", Ward!$Q$2:$R$14, IF(J127="Quận 10", Ward!$S$2:$T$16, IF(J127="Quận 11", Ward!$U$2:$V$17, IF(J127="Quận 12", Ward!$W$2:$X$12, IF(J127="Huyện Bình Chánh", Ward!$Y$2:$Z$17, IF(J127="Quận Bình Tân", Ward!$AA$2:$AB$11, IF(J127="Quận Bình Thạnh", Ward!$AC$2:$AD$21, IF(J127="Huyện Cần Giờ", Ward!$AE$2:$AF$8, IF(J127="Huyện Củ Chi", Ward!$AG$2:$AH$22, IF(J127="Quận Gò Vấp", Ward!$AI$2:$AJ$17, IF(J127="Huyện Hóc Môn", Ward!$AK$2:$AL$13, IF(J127="Huyện Nhà Bè", Ward!$AM$2:$AN$8, IF(J127="Quận Phú Nhuận", Ward!$AO$2:$AP$16, IF(J127="Quận Tân Bình", Ward!$AQ$2:$AR$16, IF(J127="Quận Tân Phú", Ward!$AS$2:$AT$12, IF(J127="Quận Thủ Đức", Ward!$AU$2:$AV$13)))))))))))))))))))))))), 2, FALSE), "")</f>
        <v/>
      </c>
      <c r="Y127" s="20" t="str">
        <f>IF(B127 &lt;&gt; "", VLOOKUP(B127, HospitalType!$A$2:$B$9, 2, FALSE), "")</f>
        <v/>
      </c>
    </row>
    <row r="128" spans="1:25" x14ac:dyDescent="0.25">
      <c r="A128" s="34"/>
      <c r="B128" s="24"/>
      <c r="C128" s="24"/>
      <c r="D128" s="24"/>
      <c r="E128" s="24"/>
      <c r="F128" s="24"/>
      <c r="G128" s="25"/>
      <c r="H128" s="25"/>
      <c r="I128" s="25"/>
      <c r="J128" s="25"/>
      <c r="K128" s="25"/>
      <c r="L128" s="25"/>
      <c r="M128" s="25"/>
      <c r="N128" s="25"/>
      <c r="O128" s="25"/>
      <c r="P128" s="25"/>
      <c r="Q128" s="24"/>
      <c r="R128" s="26"/>
      <c r="S128" s="26"/>
      <c r="T128" s="26"/>
      <c r="U128" s="27"/>
      <c r="V128" s="20" t="str">
        <f>IF(I128 &lt;&gt; "", VLOOKUP(I128, City!$A$1:$B$2, 2, FALSE), "" )</f>
        <v/>
      </c>
      <c r="W128" s="20" t="str">
        <f>IF(J128 &lt;&gt; "", VLOOKUP(J128, District!$A$1:$B$25, 2, FALSE), "")</f>
        <v/>
      </c>
      <c r="X128" s="21" t="str">
        <f>IF(K128 &lt;&gt; "", VLOOKUP(K128, IF(J128="Quận 1", Ward!$A$2:$B$11, IF(J128="Quận 2", Ward!$C$2:$D$12, IF(J128="Quận 3", Ward!$E$2:$F$15, IF(J128="Quận 4", Ward!$G$2:$H$16, IF(J128="Quận 5", Ward!$I$2:$J$16, IF(J128="Quận 6", Ward!$K$2:$L$15, IF(J128="Quận 7", Ward!$M$2:$N$11, IF(J128="Quận 8", Ward!$O$2:$P$17, IF(J128="Quận 9", Ward!$Q$2:$R$14, IF(J128="Quận 10", Ward!$S$2:$T$16, IF(J128="Quận 11", Ward!$U$2:$V$17, IF(J128="Quận 12", Ward!$W$2:$X$12, IF(J128="Huyện Bình Chánh", Ward!$Y$2:$Z$17, IF(J128="Quận Bình Tân", Ward!$AA$2:$AB$11, IF(J128="Quận Bình Thạnh", Ward!$AC$2:$AD$21, IF(J128="Huyện Cần Giờ", Ward!$AE$2:$AF$8, IF(J128="Huyện Củ Chi", Ward!$AG$2:$AH$22, IF(J128="Quận Gò Vấp", Ward!$AI$2:$AJ$17, IF(J128="Huyện Hóc Môn", Ward!$AK$2:$AL$13, IF(J128="Huyện Nhà Bè", Ward!$AM$2:$AN$8, IF(J128="Quận Phú Nhuận", Ward!$AO$2:$AP$16, IF(J128="Quận Tân Bình", Ward!$AQ$2:$AR$16, IF(J128="Quận Tân Phú", Ward!$AS$2:$AT$12, IF(J128="Quận Thủ Đức", Ward!$AU$2:$AV$13)))))))))))))))))))))))), 2, FALSE), "")</f>
        <v/>
      </c>
      <c r="Y128" s="20" t="str">
        <f>IF(B128 &lt;&gt; "", VLOOKUP(B128, HospitalType!$A$2:$B$9, 2, FALSE), "")</f>
        <v/>
      </c>
    </row>
    <row r="129" spans="1:25" x14ac:dyDescent="0.25">
      <c r="A129" s="34"/>
      <c r="B129" s="24"/>
      <c r="C129" s="24"/>
      <c r="D129" s="24"/>
      <c r="E129" s="24"/>
      <c r="F129" s="24"/>
      <c r="G129" s="25"/>
      <c r="H129" s="25"/>
      <c r="I129" s="25"/>
      <c r="J129" s="25"/>
      <c r="K129" s="25"/>
      <c r="L129" s="25"/>
      <c r="M129" s="25"/>
      <c r="N129" s="25"/>
      <c r="O129" s="25"/>
      <c r="P129" s="25"/>
      <c r="Q129" s="24"/>
      <c r="R129" s="26"/>
      <c r="S129" s="26"/>
      <c r="T129" s="26"/>
      <c r="U129" s="27"/>
      <c r="V129" s="20" t="str">
        <f>IF(I129 &lt;&gt; "", VLOOKUP(I129, City!$A$1:$B$2, 2, FALSE), "" )</f>
        <v/>
      </c>
      <c r="W129" s="20" t="str">
        <f>IF(J129 &lt;&gt; "", VLOOKUP(J129, District!$A$1:$B$25, 2, FALSE), "")</f>
        <v/>
      </c>
      <c r="X129" s="21" t="str">
        <f>IF(K129 &lt;&gt; "", VLOOKUP(K129, IF(J129="Quận 1", Ward!$A$2:$B$11, IF(J129="Quận 2", Ward!$C$2:$D$12, IF(J129="Quận 3", Ward!$E$2:$F$15, IF(J129="Quận 4", Ward!$G$2:$H$16, IF(J129="Quận 5", Ward!$I$2:$J$16, IF(J129="Quận 6", Ward!$K$2:$L$15, IF(J129="Quận 7", Ward!$M$2:$N$11, IF(J129="Quận 8", Ward!$O$2:$P$17, IF(J129="Quận 9", Ward!$Q$2:$R$14, IF(J129="Quận 10", Ward!$S$2:$T$16, IF(J129="Quận 11", Ward!$U$2:$V$17, IF(J129="Quận 12", Ward!$W$2:$X$12, IF(J129="Huyện Bình Chánh", Ward!$Y$2:$Z$17, IF(J129="Quận Bình Tân", Ward!$AA$2:$AB$11, IF(J129="Quận Bình Thạnh", Ward!$AC$2:$AD$21, IF(J129="Huyện Cần Giờ", Ward!$AE$2:$AF$8, IF(J129="Huyện Củ Chi", Ward!$AG$2:$AH$22, IF(J129="Quận Gò Vấp", Ward!$AI$2:$AJ$17, IF(J129="Huyện Hóc Môn", Ward!$AK$2:$AL$13, IF(J129="Huyện Nhà Bè", Ward!$AM$2:$AN$8, IF(J129="Quận Phú Nhuận", Ward!$AO$2:$AP$16, IF(J129="Quận Tân Bình", Ward!$AQ$2:$AR$16, IF(J129="Quận Tân Phú", Ward!$AS$2:$AT$12, IF(J129="Quận Thủ Đức", Ward!$AU$2:$AV$13)))))))))))))))))))))))), 2, FALSE), "")</f>
        <v/>
      </c>
      <c r="Y129" s="20" t="str">
        <f>IF(B129 &lt;&gt; "", VLOOKUP(B129, HospitalType!$A$2:$B$9, 2, FALSE), "")</f>
        <v/>
      </c>
    </row>
    <row r="130" spans="1:25" x14ac:dyDescent="0.25">
      <c r="A130" s="34"/>
      <c r="B130" s="24"/>
      <c r="C130" s="24"/>
      <c r="D130" s="24"/>
      <c r="E130" s="24"/>
      <c r="F130" s="24"/>
      <c r="G130" s="25"/>
      <c r="H130" s="25"/>
      <c r="I130" s="25"/>
      <c r="J130" s="25"/>
      <c r="K130" s="25"/>
      <c r="L130" s="25"/>
      <c r="M130" s="25"/>
      <c r="N130" s="25"/>
      <c r="O130" s="25"/>
      <c r="P130" s="25"/>
      <c r="Q130" s="24"/>
      <c r="R130" s="26"/>
      <c r="S130" s="26"/>
      <c r="T130" s="26"/>
      <c r="U130" s="27"/>
      <c r="V130" s="20" t="str">
        <f>IF(I130 &lt;&gt; "", VLOOKUP(I130, City!$A$1:$B$2, 2, FALSE), "" )</f>
        <v/>
      </c>
      <c r="W130" s="20" t="str">
        <f>IF(J130 &lt;&gt; "", VLOOKUP(J130, District!$A$1:$B$25, 2, FALSE), "")</f>
        <v/>
      </c>
      <c r="X130" s="21" t="str">
        <f>IF(K130 &lt;&gt; "", VLOOKUP(K130, IF(J130="Quận 1", Ward!$A$2:$B$11, IF(J130="Quận 2", Ward!$C$2:$D$12, IF(J130="Quận 3", Ward!$E$2:$F$15, IF(J130="Quận 4", Ward!$G$2:$H$16, IF(J130="Quận 5", Ward!$I$2:$J$16, IF(J130="Quận 6", Ward!$K$2:$L$15, IF(J130="Quận 7", Ward!$M$2:$N$11, IF(J130="Quận 8", Ward!$O$2:$P$17, IF(J130="Quận 9", Ward!$Q$2:$R$14, IF(J130="Quận 10", Ward!$S$2:$T$16, IF(J130="Quận 11", Ward!$U$2:$V$17, IF(J130="Quận 12", Ward!$W$2:$X$12, IF(J130="Huyện Bình Chánh", Ward!$Y$2:$Z$17, IF(J130="Quận Bình Tân", Ward!$AA$2:$AB$11, IF(J130="Quận Bình Thạnh", Ward!$AC$2:$AD$21, IF(J130="Huyện Cần Giờ", Ward!$AE$2:$AF$8, IF(J130="Huyện Củ Chi", Ward!$AG$2:$AH$22, IF(J130="Quận Gò Vấp", Ward!$AI$2:$AJ$17, IF(J130="Huyện Hóc Môn", Ward!$AK$2:$AL$13, IF(J130="Huyện Nhà Bè", Ward!$AM$2:$AN$8, IF(J130="Quận Phú Nhuận", Ward!$AO$2:$AP$16, IF(J130="Quận Tân Bình", Ward!$AQ$2:$AR$16, IF(J130="Quận Tân Phú", Ward!$AS$2:$AT$12, IF(J130="Quận Thủ Đức", Ward!$AU$2:$AV$13)))))))))))))))))))))))), 2, FALSE), "")</f>
        <v/>
      </c>
      <c r="Y130" s="20" t="str">
        <f>IF(B130 &lt;&gt; "", VLOOKUP(B130, HospitalType!$A$2:$B$9, 2, FALSE), "")</f>
        <v/>
      </c>
    </row>
    <row r="131" spans="1:25" x14ac:dyDescent="0.25">
      <c r="A131" s="34"/>
      <c r="B131" s="24"/>
      <c r="C131" s="24"/>
      <c r="D131" s="24"/>
      <c r="E131" s="24"/>
      <c r="F131" s="24"/>
      <c r="G131" s="25"/>
      <c r="H131" s="25"/>
      <c r="I131" s="25"/>
      <c r="J131" s="25"/>
      <c r="K131" s="25"/>
      <c r="L131" s="25"/>
      <c r="M131" s="25"/>
      <c r="N131" s="25"/>
      <c r="O131" s="25"/>
      <c r="P131" s="25"/>
      <c r="Q131" s="24"/>
      <c r="R131" s="26"/>
      <c r="S131" s="26"/>
      <c r="T131" s="26"/>
      <c r="U131" s="27"/>
      <c r="V131" s="20" t="str">
        <f>IF(I131 &lt;&gt; "", VLOOKUP(I131, City!$A$1:$B$2, 2, FALSE), "" )</f>
        <v/>
      </c>
      <c r="W131" s="20" t="str">
        <f>IF(J131 &lt;&gt; "", VLOOKUP(J131, District!$A$1:$B$25, 2, FALSE), "")</f>
        <v/>
      </c>
      <c r="X131" s="21" t="str">
        <f>IF(K131 &lt;&gt; "", VLOOKUP(K131, IF(J131="Quận 1", Ward!$A$2:$B$11, IF(J131="Quận 2", Ward!$C$2:$D$12, IF(J131="Quận 3", Ward!$E$2:$F$15, IF(J131="Quận 4", Ward!$G$2:$H$16, IF(J131="Quận 5", Ward!$I$2:$J$16, IF(J131="Quận 6", Ward!$K$2:$L$15, IF(J131="Quận 7", Ward!$M$2:$N$11, IF(J131="Quận 8", Ward!$O$2:$P$17, IF(J131="Quận 9", Ward!$Q$2:$R$14, IF(J131="Quận 10", Ward!$S$2:$T$16, IF(J131="Quận 11", Ward!$U$2:$V$17, IF(J131="Quận 12", Ward!$W$2:$X$12, IF(J131="Huyện Bình Chánh", Ward!$Y$2:$Z$17, IF(J131="Quận Bình Tân", Ward!$AA$2:$AB$11, IF(J131="Quận Bình Thạnh", Ward!$AC$2:$AD$21, IF(J131="Huyện Cần Giờ", Ward!$AE$2:$AF$8, IF(J131="Huyện Củ Chi", Ward!$AG$2:$AH$22, IF(J131="Quận Gò Vấp", Ward!$AI$2:$AJ$17, IF(J131="Huyện Hóc Môn", Ward!$AK$2:$AL$13, IF(J131="Huyện Nhà Bè", Ward!$AM$2:$AN$8, IF(J131="Quận Phú Nhuận", Ward!$AO$2:$AP$16, IF(J131="Quận Tân Bình", Ward!$AQ$2:$AR$16, IF(J131="Quận Tân Phú", Ward!$AS$2:$AT$12, IF(J131="Quận Thủ Đức", Ward!$AU$2:$AV$13)))))))))))))))))))))))), 2, FALSE), "")</f>
        <v/>
      </c>
      <c r="Y131" s="20" t="str">
        <f>IF(B131 &lt;&gt; "", VLOOKUP(B131, HospitalType!$A$2:$B$9, 2, FALSE), "")</f>
        <v/>
      </c>
    </row>
    <row r="132" spans="1:25" x14ac:dyDescent="0.25">
      <c r="A132" s="34"/>
      <c r="B132" s="24"/>
      <c r="C132" s="24"/>
      <c r="D132" s="24"/>
      <c r="E132" s="24"/>
      <c r="F132" s="24"/>
      <c r="G132" s="25"/>
      <c r="H132" s="25"/>
      <c r="I132" s="25"/>
      <c r="J132" s="25"/>
      <c r="K132" s="25"/>
      <c r="L132" s="25"/>
      <c r="M132" s="25"/>
      <c r="N132" s="25"/>
      <c r="O132" s="25"/>
      <c r="P132" s="25"/>
      <c r="Q132" s="24"/>
      <c r="R132" s="26"/>
      <c r="S132" s="26"/>
      <c r="T132" s="26"/>
      <c r="U132" s="27"/>
      <c r="V132" s="20" t="str">
        <f>IF(I132 &lt;&gt; "", VLOOKUP(I132, City!$A$1:$B$2, 2, FALSE), "" )</f>
        <v/>
      </c>
      <c r="W132" s="20" t="str">
        <f>IF(J132 &lt;&gt; "", VLOOKUP(J132, District!$A$1:$B$25, 2, FALSE), "")</f>
        <v/>
      </c>
      <c r="X132" s="21" t="str">
        <f>IF(K132 &lt;&gt; "", VLOOKUP(K132, IF(J132="Quận 1", Ward!$A$2:$B$11, IF(J132="Quận 2", Ward!$C$2:$D$12, IF(J132="Quận 3", Ward!$E$2:$F$15, IF(J132="Quận 4", Ward!$G$2:$H$16, IF(J132="Quận 5", Ward!$I$2:$J$16, IF(J132="Quận 6", Ward!$K$2:$L$15, IF(J132="Quận 7", Ward!$M$2:$N$11, IF(J132="Quận 8", Ward!$O$2:$P$17, IF(J132="Quận 9", Ward!$Q$2:$R$14, IF(J132="Quận 10", Ward!$S$2:$T$16, IF(J132="Quận 11", Ward!$U$2:$V$17, IF(J132="Quận 12", Ward!$W$2:$X$12, IF(J132="Huyện Bình Chánh", Ward!$Y$2:$Z$17, IF(J132="Quận Bình Tân", Ward!$AA$2:$AB$11, IF(J132="Quận Bình Thạnh", Ward!$AC$2:$AD$21, IF(J132="Huyện Cần Giờ", Ward!$AE$2:$AF$8, IF(J132="Huyện Củ Chi", Ward!$AG$2:$AH$22, IF(J132="Quận Gò Vấp", Ward!$AI$2:$AJ$17, IF(J132="Huyện Hóc Môn", Ward!$AK$2:$AL$13, IF(J132="Huyện Nhà Bè", Ward!$AM$2:$AN$8, IF(J132="Quận Phú Nhuận", Ward!$AO$2:$AP$16, IF(J132="Quận Tân Bình", Ward!$AQ$2:$AR$16, IF(J132="Quận Tân Phú", Ward!$AS$2:$AT$12, IF(J132="Quận Thủ Đức", Ward!$AU$2:$AV$13)))))))))))))))))))))))), 2, FALSE), "")</f>
        <v/>
      </c>
      <c r="Y132" s="20" t="str">
        <f>IF(B132 &lt;&gt; "", VLOOKUP(B132, HospitalType!$A$2:$B$9, 2, FALSE), "")</f>
        <v/>
      </c>
    </row>
    <row r="133" spans="1:25" x14ac:dyDescent="0.25">
      <c r="A133" s="34"/>
      <c r="B133" s="24"/>
      <c r="C133" s="24"/>
      <c r="D133" s="24"/>
      <c r="E133" s="24"/>
      <c r="F133" s="24"/>
      <c r="G133" s="25"/>
      <c r="H133" s="25"/>
      <c r="I133" s="25"/>
      <c r="J133" s="25"/>
      <c r="K133" s="25"/>
      <c r="L133" s="25"/>
      <c r="M133" s="25"/>
      <c r="N133" s="25"/>
      <c r="O133" s="25"/>
      <c r="P133" s="25"/>
      <c r="Q133" s="24"/>
      <c r="R133" s="26"/>
      <c r="S133" s="26"/>
      <c r="T133" s="26"/>
      <c r="U133" s="27"/>
      <c r="V133" s="20" t="str">
        <f>IF(I133 &lt;&gt; "", VLOOKUP(I133, City!$A$1:$B$2, 2, FALSE), "" )</f>
        <v/>
      </c>
      <c r="W133" s="20" t="str">
        <f>IF(J133 &lt;&gt; "", VLOOKUP(J133, District!$A$1:$B$25, 2, FALSE), "")</f>
        <v/>
      </c>
      <c r="X133" s="21" t="str">
        <f>IF(K133 &lt;&gt; "", VLOOKUP(K133, IF(J133="Quận 1", Ward!$A$2:$B$11, IF(J133="Quận 2", Ward!$C$2:$D$12, IF(J133="Quận 3", Ward!$E$2:$F$15, IF(J133="Quận 4", Ward!$G$2:$H$16, IF(J133="Quận 5", Ward!$I$2:$J$16, IF(J133="Quận 6", Ward!$K$2:$L$15, IF(J133="Quận 7", Ward!$M$2:$N$11, IF(J133="Quận 8", Ward!$O$2:$P$17, IF(J133="Quận 9", Ward!$Q$2:$R$14, IF(J133="Quận 10", Ward!$S$2:$T$16, IF(J133="Quận 11", Ward!$U$2:$V$17, IF(J133="Quận 12", Ward!$W$2:$X$12, IF(J133="Huyện Bình Chánh", Ward!$Y$2:$Z$17, IF(J133="Quận Bình Tân", Ward!$AA$2:$AB$11, IF(J133="Quận Bình Thạnh", Ward!$AC$2:$AD$21, IF(J133="Huyện Cần Giờ", Ward!$AE$2:$AF$8, IF(J133="Huyện Củ Chi", Ward!$AG$2:$AH$22, IF(J133="Quận Gò Vấp", Ward!$AI$2:$AJ$17, IF(J133="Huyện Hóc Môn", Ward!$AK$2:$AL$13, IF(J133="Huyện Nhà Bè", Ward!$AM$2:$AN$8, IF(J133="Quận Phú Nhuận", Ward!$AO$2:$AP$16, IF(J133="Quận Tân Bình", Ward!$AQ$2:$AR$16, IF(J133="Quận Tân Phú", Ward!$AS$2:$AT$12, IF(J133="Quận Thủ Đức", Ward!$AU$2:$AV$13)))))))))))))))))))))))), 2, FALSE), "")</f>
        <v/>
      </c>
      <c r="Y133" s="20" t="str">
        <f>IF(B133 &lt;&gt; "", VLOOKUP(B133, HospitalType!$A$2:$B$9, 2, FALSE), "")</f>
        <v/>
      </c>
    </row>
    <row r="134" spans="1:25" x14ac:dyDescent="0.25">
      <c r="A134" s="34"/>
      <c r="B134" s="24"/>
      <c r="C134" s="24"/>
      <c r="D134" s="24"/>
      <c r="E134" s="24"/>
      <c r="F134" s="24"/>
      <c r="G134" s="25"/>
      <c r="H134" s="25"/>
      <c r="I134" s="25"/>
      <c r="J134" s="25"/>
      <c r="K134" s="25"/>
      <c r="L134" s="25"/>
      <c r="M134" s="25"/>
      <c r="N134" s="25"/>
      <c r="O134" s="25"/>
      <c r="P134" s="25"/>
      <c r="Q134" s="24"/>
      <c r="R134" s="26"/>
      <c r="S134" s="26"/>
      <c r="T134" s="26"/>
      <c r="U134" s="27"/>
      <c r="V134" s="20" t="str">
        <f>IF(I134 &lt;&gt; "", VLOOKUP(I134, City!$A$1:$B$2, 2, FALSE), "" )</f>
        <v/>
      </c>
      <c r="W134" s="20" t="str">
        <f>IF(J134 &lt;&gt; "", VLOOKUP(J134, District!$A$1:$B$25, 2, FALSE), "")</f>
        <v/>
      </c>
      <c r="X134" s="21" t="str">
        <f>IF(K134 &lt;&gt; "", VLOOKUP(K134, IF(J134="Quận 1", Ward!$A$2:$B$11, IF(J134="Quận 2", Ward!$C$2:$D$12, IF(J134="Quận 3", Ward!$E$2:$F$15, IF(J134="Quận 4", Ward!$G$2:$H$16, IF(J134="Quận 5", Ward!$I$2:$J$16, IF(J134="Quận 6", Ward!$K$2:$L$15, IF(J134="Quận 7", Ward!$M$2:$N$11, IF(J134="Quận 8", Ward!$O$2:$P$17, IF(J134="Quận 9", Ward!$Q$2:$R$14, IF(J134="Quận 10", Ward!$S$2:$T$16, IF(J134="Quận 11", Ward!$U$2:$V$17, IF(J134="Quận 12", Ward!$W$2:$X$12, IF(J134="Huyện Bình Chánh", Ward!$Y$2:$Z$17, IF(J134="Quận Bình Tân", Ward!$AA$2:$AB$11, IF(J134="Quận Bình Thạnh", Ward!$AC$2:$AD$21, IF(J134="Huyện Cần Giờ", Ward!$AE$2:$AF$8, IF(J134="Huyện Củ Chi", Ward!$AG$2:$AH$22, IF(J134="Quận Gò Vấp", Ward!$AI$2:$AJ$17, IF(J134="Huyện Hóc Môn", Ward!$AK$2:$AL$13, IF(J134="Huyện Nhà Bè", Ward!$AM$2:$AN$8, IF(J134="Quận Phú Nhuận", Ward!$AO$2:$AP$16, IF(J134="Quận Tân Bình", Ward!$AQ$2:$AR$16, IF(J134="Quận Tân Phú", Ward!$AS$2:$AT$12, IF(J134="Quận Thủ Đức", Ward!$AU$2:$AV$13)))))))))))))))))))))))), 2, FALSE), "")</f>
        <v/>
      </c>
      <c r="Y134" s="20" t="str">
        <f>IF(B134 &lt;&gt; "", VLOOKUP(B134, HospitalType!$A$2:$B$9, 2, FALSE), "")</f>
        <v/>
      </c>
    </row>
    <row r="135" spans="1:25" x14ac:dyDescent="0.25">
      <c r="A135" s="34"/>
      <c r="B135" s="24"/>
      <c r="C135" s="24"/>
      <c r="D135" s="24"/>
      <c r="E135" s="24"/>
      <c r="F135" s="24"/>
      <c r="G135" s="25"/>
      <c r="H135" s="25"/>
      <c r="I135" s="25"/>
      <c r="J135" s="25"/>
      <c r="K135" s="25"/>
      <c r="L135" s="25"/>
      <c r="M135" s="25"/>
      <c r="N135" s="25"/>
      <c r="O135" s="25"/>
      <c r="P135" s="25"/>
      <c r="Q135" s="24"/>
      <c r="R135" s="26"/>
      <c r="S135" s="26"/>
      <c r="T135" s="26"/>
      <c r="U135" s="27"/>
      <c r="V135" s="20" t="str">
        <f>IF(I135 &lt;&gt; "", VLOOKUP(I135, City!$A$1:$B$2, 2, FALSE), "" )</f>
        <v/>
      </c>
      <c r="W135" s="20" t="str">
        <f>IF(J135 &lt;&gt; "", VLOOKUP(J135, District!$A$1:$B$25, 2, FALSE), "")</f>
        <v/>
      </c>
      <c r="X135" s="21" t="str">
        <f>IF(K135 &lt;&gt; "", VLOOKUP(K135, IF(J135="Quận 1", Ward!$A$2:$B$11, IF(J135="Quận 2", Ward!$C$2:$D$12, IF(J135="Quận 3", Ward!$E$2:$F$15, IF(J135="Quận 4", Ward!$G$2:$H$16, IF(J135="Quận 5", Ward!$I$2:$J$16, IF(J135="Quận 6", Ward!$K$2:$L$15, IF(J135="Quận 7", Ward!$M$2:$N$11, IF(J135="Quận 8", Ward!$O$2:$P$17, IF(J135="Quận 9", Ward!$Q$2:$R$14, IF(J135="Quận 10", Ward!$S$2:$T$16, IF(J135="Quận 11", Ward!$U$2:$V$17, IF(J135="Quận 12", Ward!$W$2:$X$12, IF(J135="Huyện Bình Chánh", Ward!$Y$2:$Z$17, IF(J135="Quận Bình Tân", Ward!$AA$2:$AB$11, IF(J135="Quận Bình Thạnh", Ward!$AC$2:$AD$21, IF(J135="Huyện Cần Giờ", Ward!$AE$2:$AF$8, IF(J135="Huyện Củ Chi", Ward!$AG$2:$AH$22, IF(J135="Quận Gò Vấp", Ward!$AI$2:$AJ$17, IF(J135="Huyện Hóc Môn", Ward!$AK$2:$AL$13, IF(J135="Huyện Nhà Bè", Ward!$AM$2:$AN$8, IF(J135="Quận Phú Nhuận", Ward!$AO$2:$AP$16, IF(J135="Quận Tân Bình", Ward!$AQ$2:$AR$16, IF(J135="Quận Tân Phú", Ward!$AS$2:$AT$12, IF(J135="Quận Thủ Đức", Ward!$AU$2:$AV$13)))))))))))))))))))))))), 2, FALSE), "")</f>
        <v/>
      </c>
      <c r="Y135" s="20" t="str">
        <f>IF(B135 &lt;&gt; "", VLOOKUP(B135, HospitalType!$A$2:$B$9, 2, FALSE), "")</f>
        <v/>
      </c>
    </row>
    <row r="136" spans="1:25" x14ac:dyDescent="0.25">
      <c r="A136" s="34"/>
      <c r="B136" s="24"/>
      <c r="C136" s="24"/>
      <c r="D136" s="24"/>
      <c r="E136" s="24"/>
      <c r="F136" s="24"/>
      <c r="G136" s="25"/>
      <c r="H136" s="25"/>
      <c r="I136" s="25"/>
      <c r="J136" s="25"/>
      <c r="K136" s="25"/>
      <c r="L136" s="25"/>
      <c r="M136" s="25"/>
      <c r="N136" s="25"/>
      <c r="O136" s="25"/>
      <c r="P136" s="25"/>
      <c r="Q136" s="24"/>
      <c r="R136" s="26"/>
      <c r="S136" s="26"/>
      <c r="T136" s="26"/>
      <c r="U136" s="27"/>
      <c r="V136" s="20" t="str">
        <f>IF(I136 &lt;&gt; "", VLOOKUP(I136, City!$A$1:$B$2, 2, FALSE), "" )</f>
        <v/>
      </c>
      <c r="W136" s="20" t="str">
        <f>IF(J136 &lt;&gt; "", VLOOKUP(J136, District!$A$1:$B$25, 2, FALSE), "")</f>
        <v/>
      </c>
      <c r="X136" s="21" t="str">
        <f>IF(K136 &lt;&gt; "", VLOOKUP(K136, IF(J136="Quận 1", Ward!$A$2:$B$11, IF(J136="Quận 2", Ward!$C$2:$D$12, IF(J136="Quận 3", Ward!$E$2:$F$15, IF(J136="Quận 4", Ward!$G$2:$H$16, IF(J136="Quận 5", Ward!$I$2:$J$16, IF(J136="Quận 6", Ward!$K$2:$L$15, IF(J136="Quận 7", Ward!$M$2:$N$11, IF(J136="Quận 8", Ward!$O$2:$P$17, IF(J136="Quận 9", Ward!$Q$2:$R$14, IF(J136="Quận 10", Ward!$S$2:$T$16, IF(J136="Quận 11", Ward!$U$2:$V$17, IF(J136="Quận 12", Ward!$W$2:$X$12, IF(J136="Huyện Bình Chánh", Ward!$Y$2:$Z$17, IF(J136="Quận Bình Tân", Ward!$AA$2:$AB$11, IF(J136="Quận Bình Thạnh", Ward!$AC$2:$AD$21, IF(J136="Huyện Cần Giờ", Ward!$AE$2:$AF$8, IF(J136="Huyện Củ Chi", Ward!$AG$2:$AH$22, IF(J136="Quận Gò Vấp", Ward!$AI$2:$AJ$17, IF(J136="Huyện Hóc Môn", Ward!$AK$2:$AL$13, IF(J136="Huyện Nhà Bè", Ward!$AM$2:$AN$8, IF(J136="Quận Phú Nhuận", Ward!$AO$2:$AP$16, IF(J136="Quận Tân Bình", Ward!$AQ$2:$AR$16, IF(J136="Quận Tân Phú", Ward!$AS$2:$AT$12, IF(J136="Quận Thủ Đức", Ward!$AU$2:$AV$13)))))))))))))))))))))))), 2, FALSE), "")</f>
        <v/>
      </c>
      <c r="Y136" s="20" t="str">
        <f>IF(B136 &lt;&gt; "", VLOOKUP(B136, HospitalType!$A$2:$B$9, 2, FALSE), "")</f>
        <v/>
      </c>
    </row>
    <row r="137" spans="1:25" x14ac:dyDescent="0.25">
      <c r="A137" s="34"/>
      <c r="B137" s="24"/>
      <c r="C137" s="24"/>
      <c r="D137" s="24"/>
      <c r="E137" s="24"/>
      <c r="F137" s="24"/>
      <c r="G137" s="25"/>
      <c r="H137" s="25"/>
      <c r="I137" s="25"/>
      <c r="J137" s="25"/>
      <c r="K137" s="25"/>
      <c r="L137" s="25"/>
      <c r="M137" s="25"/>
      <c r="N137" s="25"/>
      <c r="O137" s="25"/>
      <c r="P137" s="25"/>
      <c r="Q137" s="24"/>
      <c r="R137" s="26"/>
      <c r="S137" s="26"/>
      <c r="T137" s="26"/>
      <c r="U137" s="27"/>
      <c r="V137" s="20" t="str">
        <f>IF(I137 &lt;&gt; "", VLOOKUP(I137, City!$A$1:$B$2, 2, FALSE), "" )</f>
        <v/>
      </c>
      <c r="W137" s="20" t="str">
        <f>IF(J137 &lt;&gt; "", VLOOKUP(J137, District!$A$1:$B$25, 2, FALSE), "")</f>
        <v/>
      </c>
      <c r="X137" s="21" t="str">
        <f>IF(K137 &lt;&gt; "", VLOOKUP(K137, IF(J137="Quận 1", Ward!$A$2:$B$11, IF(J137="Quận 2", Ward!$C$2:$D$12, IF(J137="Quận 3", Ward!$E$2:$F$15, IF(J137="Quận 4", Ward!$G$2:$H$16, IF(J137="Quận 5", Ward!$I$2:$J$16, IF(J137="Quận 6", Ward!$K$2:$L$15, IF(J137="Quận 7", Ward!$M$2:$N$11, IF(J137="Quận 8", Ward!$O$2:$P$17, IF(J137="Quận 9", Ward!$Q$2:$R$14, IF(J137="Quận 10", Ward!$S$2:$T$16, IF(J137="Quận 11", Ward!$U$2:$V$17, IF(J137="Quận 12", Ward!$W$2:$X$12, IF(J137="Huyện Bình Chánh", Ward!$Y$2:$Z$17, IF(J137="Quận Bình Tân", Ward!$AA$2:$AB$11, IF(J137="Quận Bình Thạnh", Ward!$AC$2:$AD$21, IF(J137="Huyện Cần Giờ", Ward!$AE$2:$AF$8, IF(J137="Huyện Củ Chi", Ward!$AG$2:$AH$22, IF(J137="Quận Gò Vấp", Ward!$AI$2:$AJ$17, IF(J137="Huyện Hóc Môn", Ward!$AK$2:$AL$13, IF(J137="Huyện Nhà Bè", Ward!$AM$2:$AN$8, IF(J137="Quận Phú Nhuận", Ward!$AO$2:$AP$16, IF(J137="Quận Tân Bình", Ward!$AQ$2:$AR$16, IF(J137="Quận Tân Phú", Ward!$AS$2:$AT$12, IF(J137="Quận Thủ Đức", Ward!$AU$2:$AV$13)))))))))))))))))))))))), 2, FALSE), "")</f>
        <v/>
      </c>
      <c r="Y137" s="20" t="str">
        <f>IF(B137 &lt;&gt; "", VLOOKUP(B137, HospitalType!$A$2:$B$9, 2, FALSE), "")</f>
        <v/>
      </c>
    </row>
    <row r="138" spans="1:25" x14ac:dyDescent="0.25">
      <c r="A138" s="34"/>
      <c r="B138" s="24"/>
      <c r="C138" s="24"/>
      <c r="D138" s="24"/>
      <c r="E138" s="24"/>
      <c r="F138" s="24"/>
      <c r="G138" s="25"/>
      <c r="H138" s="25"/>
      <c r="I138" s="25"/>
      <c r="J138" s="25"/>
      <c r="K138" s="25"/>
      <c r="L138" s="25"/>
      <c r="M138" s="25"/>
      <c r="N138" s="25"/>
      <c r="O138" s="25"/>
      <c r="P138" s="25"/>
      <c r="Q138" s="24"/>
      <c r="R138" s="26"/>
      <c r="S138" s="26"/>
      <c r="T138" s="26"/>
      <c r="U138" s="27"/>
      <c r="V138" s="20" t="str">
        <f>IF(I138 &lt;&gt; "", VLOOKUP(I138, City!$A$1:$B$2, 2, FALSE), "" )</f>
        <v/>
      </c>
      <c r="W138" s="20" t="str">
        <f>IF(J138 &lt;&gt; "", VLOOKUP(J138, District!$A$1:$B$25, 2, FALSE), "")</f>
        <v/>
      </c>
      <c r="X138" s="21" t="str">
        <f>IF(K138 &lt;&gt; "", VLOOKUP(K138, IF(J138="Quận 1", Ward!$A$2:$B$11, IF(J138="Quận 2", Ward!$C$2:$D$12, IF(J138="Quận 3", Ward!$E$2:$F$15, IF(J138="Quận 4", Ward!$G$2:$H$16, IF(J138="Quận 5", Ward!$I$2:$J$16, IF(J138="Quận 6", Ward!$K$2:$L$15, IF(J138="Quận 7", Ward!$M$2:$N$11, IF(J138="Quận 8", Ward!$O$2:$P$17, IF(J138="Quận 9", Ward!$Q$2:$R$14, IF(J138="Quận 10", Ward!$S$2:$T$16, IF(J138="Quận 11", Ward!$U$2:$V$17, IF(J138="Quận 12", Ward!$W$2:$X$12, IF(J138="Huyện Bình Chánh", Ward!$Y$2:$Z$17, IF(J138="Quận Bình Tân", Ward!$AA$2:$AB$11, IF(J138="Quận Bình Thạnh", Ward!$AC$2:$AD$21, IF(J138="Huyện Cần Giờ", Ward!$AE$2:$AF$8, IF(J138="Huyện Củ Chi", Ward!$AG$2:$AH$22, IF(J138="Quận Gò Vấp", Ward!$AI$2:$AJ$17, IF(J138="Huyện Hóc Môn", Ward!$AK$2:$AL$13, IF(J138="Huyện Nhà Bè", Ward!$AM$2:$AN$8, IF(J138="Quận Phú Nhuận", Ward!$AO$2:$AP$16, IF(J138="Quận Tân Bình", Ward!$AQ$2:$AR$16, IF(J138="Quận Tân Phú", Ward!$AS$2:$AT$12, IF(J138="Quận Thủ Đức", Ward!$AU$2:$AV$13)))))))))))))))))))))))), 2, FALSE), "")</f>
        <v/>
      </c>
      <c r="Y138" s="20" t="str">
        <f>IF(B138 &lt;&gt; "", VLOOKUP(B138, HospitalType!$A$2:$B$9, 2, FALSE), "")</f>
        <v/>
      </c>
    </row>
    <row r="139" spans="1:25" x14ac:dyDescent="0.25">
      <c r="A139" s="34"/>
      <c r="B139" s="24"/>
      <c r="C139" s="24"/>
      <c r="D139" s="24"/>
      <c r="E139" s="24"/>
      <c r="F139" s="24"/>
      <c r="G139" s="25"/>
      <c r="H139" s="25"/>
      <c r="I139" s="25"/>
      <c r="J139" s="25"/>
      <c r="K139" s="25"/>
      <c r="L139" s="25"/>
      <c r="M139" s="25"/>
      <c r="N139" s="25"/>
      <c r="O139" s="25"/>
      <c r="P139" s="25"/>
      <c r="Q139" s="24"/>
      <c r="R139" s="26"/>
      <c r="S139" s="26"/>
      <c r="T139" s="26"/>
      <c r="U139" s="27"/>
      <c r="V139" s="20" t="str">
        <f>IF(I139 &lt;&gt; "", VLOOKUP(I139, City!$A$1:$B$2, 2, FALSE), "" )</f>
        <v/>
      </c>
      <c r="W139" s="20" t="str">
        <f>IF(J139 &lt;&gt; "", VLOOKUP(J139, District!$A$1:$B$25, 2, FALSE), "")</f>
        <v/>
      </c>
      <c r="X139" s="21" t="str">
        <f>IF(K139 &lt;&gt; "", VLOOKUP(K139, IF(J139="Quận 1", Ward!$A$2:$B$11, IF(J139="Quận 2", Ward!$C$2:$D$12, IF(J139="Quận 3", Ward!$E$2:$F$15, IF(J139="Quận 4", Ward!$G$2:$H$16, IF(J139="Quận 5", Ward!$I$2:$J$16, IF(J139="Quận 6", Ward!$K$2:$L$15, IF(J139="Quận 7", Ward!$M$2:$N$11, IF(J139="Quận 8", Ward!$O$2:$P$17, IF(J139="Quận 9", Ward!$Q$2:$R$14, IF(J139="Quận 10", Ward!$S$2:$T$16, IF(J139="Quận 11", Ward!$U$2:$V$17, IF(J139="Quận 12", Ward!$W$2:$X$12, IF(J139="Huyện Bình Chánh", Ward!$Y$2:$Z$17, IF(J139="Quận Bình Tân", Ward!$AA$2:$AB$11, IF(J139="Quận Bình Thạnh", Ward!$AC$2:$AD$21, IF(J139="Huyện Cần Giờ", Ward!$AE$2:$AF$8, IF(J139="Huyện Củ Chi", Ward!$AG$2:$AH$22, IF(J139="Quận Gò Vấp", Ward!$AI$2:$AJ$17, IF(J139="Huyện Hóc Môn", Ward!$AK$2:$AL$13, IF(J139="Huyện Nhà Bè", Ward!$AM$2:$AN$8, IF(J139="Quận Phú Nhuận", Ward!$AO$2:$AP$16, IF(J139="Quận Tân Bình", Ward!$AQ$2:$AR$16, IF(J139="Quận Tân Phú", Ward!$AS$2:$AT$12, IF(J139="Quận Thủ Đức", Ward!$AU$2:$AV$13)))))))))))))))))))))))), 2, FALSE), "")</f>
        <v/>
      </c>
      <c r="Y139" s="20" t="str">
        <f>IF(B139 &lt;&gt; "", VLOOKUP(B139, HospitalType!$A$2:$B$9, 2, FALSE), "")</f>
        <v/>
      </c>
    </row>
    <row r="140" spans="1:25" x14ac:dyDescent="0.25">
      <c r="A140" s="34"/>
      <c r="B140" s="24"/>
      <c r="C140" s="24"/>
      <c r="D140" s="24"/>
      <c r="E140" s="24"/>
      <c r="F140" s="24"/>
      <c r="G140" s="25"/>
      <c r="H140" s="25"/>
      <c r="I140" s="25"/>
      <c r="J140" s="25"/>
      <c r="K140" s="25"/>
      <c r="L140" s="25"/>
      <c r="M140" s="25"/>
      <c r="N140" s="25"/>
      <c r="O140" s="25"/>
      <c r="P140" s="25"/>
      <c r="Q140" s="24"/>
      <c r="R140" s="26"/>
      <c r="S140" s="26"/>
      <c r="T140" s="26"/>
      <c r="U140" s="27"/>
      <c r="V140" s="20" t="str">
        <f>IF(I140 &lt;&gt; "", VLOOKUP(I140, City!$A$1:$B$2, 2, FALSE), "" )</f>
        <v/>
      </c>
      <c r="W140" s="20" t="str">
        <f>IF(J140 &lt;&gt; "", VLOOKUP(J140, District!$A$1:$B$25, 2, FALSE), "")</f>
        <v/>
      </c>
      <c r="X140" s="21" t="str">
        <f>IF(K140 &lt;&gt; "", VLOOKUP(K140, IF(J140="Quận 1", Ward!$A$2:$B$11, IF(J140="Quận 2", Ward!$C$2:$D$12, IF(J140="Quận 3", Ward!$E$2:$F$15, IF(J140="Quận 4", Ward!$G$2:$H$16, IF(J140="Quận 5", Ward!$I$2:$J$16, IF(J140="Quận 6", Ward!$K$2:$L$15, IF(J140="Quận 7", Ward!$M$2:$N$11, IF(J140="Quận 8", Ward!$O$2:$P$17, IF(J140="Quận 9", Ward!$Q$2:$R$14, IF(J140="Quận 10", Ward!$S$2:$T$16, IF(J140="Quận 11", Ward!$U$2:$V$17, IF(J140="Quận 12", Ward!$W$2:$X$12, IF(J140="Huyện Bình Chánh", Ward!$Y$2:$Z$17, IF(J140="Quận Bình Tân", Ward!$AA$2:$AB$11, IF(J140="Quận Bình Thạnh", Ward!$AC$2:$AD$21, IF(J140="Huyện Cần Giờ", Ward!$AE$2:$AF$8, IF(J140="Huyện Củ Chi", Ward!$AG$2:$AH$22, IF(J140="Quận Gò Vấp", Ward!$AI$2:$AJ$17, IF(J140="Huyện Hóc Môn", Ward!$AK$2:$AL$13, IF(J140="Huyện Nhà Bè", Ward!$AM$2:$AN$8, IF(J140="Quận Phú Nhuận", Ward!$AO$2:$AP$16, IF(J140="Quận Tân Bình", Ward!$AQ$2:$AR$16, IF(J140="Quận Tân Phú", Ward!$AS$2:$AT$12, IF(J140="Quận Thủ Đức", Ward!$AU$2:$AV$13)))))))))))))))))))))))), 2, FALSE), "")</f>
        <v/>
      </c>
      <c r="Y140" s="20" t="str">
        <f>IF(B140 &lt;&gt; "", VLOOKUP(B140, HospitalType!$A$2:$B$9, 2, FALSE), "")</f>
        <v/>
      </c>
    </row>
    <row r="141" spans="1:25" x14ac:dyDescent="0.25">
      <c r="A141" s="34"/>
      <c r="B141" s="24"/>
      <c r="C141" s="24"/>
      <c r="D141" s="24"/>
      <c r="E141" s="24"/>
      <c r="F141" s="24"/>
      <c r="G141" s="25"/>
      <c r="H141" s="25"/>
      <c r="I141" s="25"/>
      <c r="J141" s="25"/>
      <c r="K141" s="25"/>
      <c r="L141" s="25"/>
      <c r="M141" s="25"/>
      <c r="N141" s="25"/>
      <c r="O141" s="25"/>
      <c r="P141" s="25"/>
      <c r="Q141" s="24"/>
      <c r="R141" s="26"/>
      <c r="S141" s="26"/>
      <c r="T141" s="26"/>
      <c r="U141" s="27"/>
      <c r="V141" s="20" t="str">
        <f>IF(I141 &lt;&gt; "", VLOOKUP(I141, City!$A$1:$B$2, 2, FALSE), "" )</f>
        <v/>
      </c>
      <c r="W141" s="20" t="str">
        <f>IF(J141 &lt;&gt; "", VLOOKUP(J141, District!$A$1:$B$25, 2, FALSE), "")</f>
        <v/>
      </c>
      <c r="X141" s="21" t="str">
        <f>IF(K141 &lt;&gt; "", VLOOKUP(K141, IF(J141="Quận 1", Ward!$A$2:$B$11, IF(J141="Quận 2", Ward!$C$2:$D$12, IF(J141="Quận 3", Ward!$E$2:$F$15, IF(J141="Quận 4", Ward!$G$2:$H$16, IF(J141="Quận 5", Ward!$I$2:$J$16, IF(J141="Quận 6", Ward!$K$2:$L$15, IF(J141="Quận 7", Ward!$M$2:$N$11, IF(J141="Quận 8", Ward!$O$2:$P$17, IF(J141="Quận 9", Ward!$Q$2:$R$14, IF(J141="Quận 10", Ward!$S$2:$T$16, IF(J141="Quận 11", Ward!$U$2:$V$17, IF(J141="Quận 12", Ward!$W$2:$X$12, IF(J141="Huyện Bình Chánh", Ward!$Y$2:$Z$17, IF(J141="Quận Bình Tân", Ward!$AA$2:$AB$11, IF(J141="Quận Bình Thạnh", Ward!$AC$2:$AD$21, IF(J141="Huyện Cần Giờ", Ward!$AE$2:$AF$8, IF(J141="Huyện Củ Chi", Ward!$AG$2:$AH$22, IF(J141="Quận Gò Vấp", Ward!$AI$2:$AJ$17, IF(J141="Huyện Hóc Môn", Ward!$AK$2:$AL$13, IF(J141="Huyện Nhà Bè", Ward!$AM$2:$AN$8, IF(J141="Quận Phú Nhuận", Ward!$AO$2:$AP$16, IF(J141="Quận Tân Bình", Ward!$AQ$2:$AR$16, IF(J141="Quận Tân Phú", Ward!$AS$2:$AT$12, IF(J141="Quận Thủ Đức", Ward!$AU$2:$AV$13)))))))))))))))))))))))), 2, FALSE), "")</f>
        <v/>
      </c>
      <c r="Y141" s="20" t="str">
        <f>IF(B141 &lt;&gt; "", VLOOKUP(B141, HospitalType!$A$2:$B$9, 2, FALSE), "")</f>
        <v/>
      </c>
    </row>
    <row r="142" spans="1:25" x14ac:dyDescent="0.25">
      <c r="A142" s="34"/>
      <c r="B142" s="24"/>
      <c r="C142" s="24"/>
      <c r="D142" s="24"/>
      <c r="E142" s="24"/>
      <c r="F142" s="24"/>
      <c r="G142" s="25"/>
      <c r="H142" s="25"/>
      <c r="I142" s="25"/>
      <c r="J142" s="25"/>
      <c r="K142" s="25"/>
      <c r="L142" s="25"/>
      <c r="M142" s="25"/>
      <c r="N142" s="25"/>
      <c r="O142" s="25"/>
      <c r="P142" s="25"/>
      <c r="Q142" s="24"/>
      <c r="R142" s="26"/>
      <c r="S142" s="26"/>
      <c r="T142" s="26"/>
      <c r="U142" s="27"/>
      <c r="V142" s="20" t="str">
        <f>IF(I142 &lt;&gt; "", VLOOKUP(I142, City!$A$1:$B$2, 2, FALSE), "" )</f>
        <v/>
      </c>
      <c r="W142" s="20" t="str">
        <f>IF(J142 &lt;&gt; "", VLOOKUP(J142, District!$A$1:$B$25, 2, FALSE), "")</f>
        <v/>
      </c>
      <c r="X142" s="21" t="str">
        <f>IF(K142 &lt;&gt; "", VLOOKUP(K142, IF(J142="Quận 1", Ward!$A$2:$B$11, IF(J142="Quận 2", Ward!$C$2:$D$12, IF(J142="Quận 3", Ward!$E$2:$F$15, IF(J142="Quận 4", Ward!$G$2:$H$16, IF(J142="Quận 5", Ward!$I$2:$J$16, IF(J142="Quận 6", Ward!$K$2:$L$15, IF(J142="Quận 7", Ward!$M$2:$N$11, IF(J142="Quận 8", Ward!$O$2:$P$17, IF(J142="Quận 9", Ward!$Q$2:$R$14, IF(J142="Quận 10", Ward!$S$2:$T$16, IF(J142="Quận 11", Ward!$U$2:$V$17, IF(J142="Quận 12", Ward!$W$2:$X$12, IF(J142="Huyện Bình Chánh", Ward!$Y$2:$Z$17, IF(J142="Quận Bình Tân", Ward!$AA$2:$AB$11, IF(J142="Quận Bình Thạnh", Ward!$AC$2:$AD$21, IF(J142="Huyện Cần Giờ", Ward!$AE$2:$AF$8, IF(J142="Huyện Củ Chi", Ward!$AG$2:$AH$22, IF(J142="Quận Gò Vấp", Ward!$AI$2:$AJ$17, IF(J142="Huyện Hóc Môn", Ward!$AK$2:$AL$13, IF(J142="Huyện Nhà Bè", Ward!$AM$2:$AN$8, IF(J142="Quận Phú Nhuận", Ward!$AO$2:$AP$16, IF(J142="Quận Tân Bình", Ward!$AQ$2:$AR$16, IF(J142="Quận Tân Phú", Ward!$AS$2:$AT$12, IF(J142="Quận Thủ Đức", Ward!$AU$2:$AV$13)))))))))))))))))))))))), 2, FALSE), "")</f>
        <v/>
      </c>
      <c r="Y142" s="20" t="str">
        <f>IF(B142 &lt;&gt; "", VLOOKUP(B142, HospitalType!$A$2:$B$9, 2, FALSE), "")</f>
        <v/>
      </c>
    </row>
    <row r="143" spans="1:25" x14ac:dyDescent="0.25">
      <c r="A143" s="34"/>
      <c r="B143" s="24"/>
      <c r="C143" s="24"/>
      <c r="D143" s="24"/>
      <c r="E143" s="24"/>
      <c r="F143" s="24"/>
      <c r="G143" s="25"/>
      <c r="H143" s="25"/>
      <c r="I143" s="25"/>
      <c r="J143" s="25"/>
      <c r="K143" s="25"/>
      <c r="L143" s="25"/>
      <c r="M143" s="25"/>
      <c r="N143" s="25"/>
      <c r="O143" s="25"/>
      <c r="P143" s="25"/>
      <c r="Q143" s="24"/>
      <c r="R143" s="26"/>
      <c r="S143" s="26"/>
      <c r="T143" s="26"/>
      <c r="U143" s="27"/>
      <c r="V143" s="20" t="str">
        <f>IF(I143 &lt;&gt; "", VLOOKUP(I143, City!$A$1:$B$2, 2, FALSE), "" )</f>
        <v/>
      </c>
      <c r="W143" s="20" t="str">
        <f>IF(J143 &lt;&gt; "", VLOOKUP(J143, District!$A$1:$B$25, 2, FALSE), "")</f>
        <v/>
      </c>
      <c r="X143" s="21" t="str">
        <f>IF(K143 &lt;&gt; "", VLOOKUP(K143, IF(J143="Quận 1", Ward!$A$2:$B$11, IF(J143="Quận 2", Ward!$C$2:$D$12, IF(J143="Quận 3", Ward!$E$2:$F$15, IF(J143="Quận 4", Ward!$G$2:$H$16, IF(J143="Quận 5", Ward!$I$2:$J$16, IF(J143="Quận 6", Ward!$K$2:$L$15, IF(J143="Quận 7", Ward!$M$2:$N$11, IF(J143="Quận 8", Ward!$O$2:$P$17, IF(J143="Quận 9", Ward!$Q$2:$R$14, IF(J143="Quận 10", Ward!$S$2:$T$16, IF(J143="Quận 11", Ward!$U$2:$V$17, IF(J143="Quận 12", Ward!$W$2:$X$12, IF(J143="Huyện Bình Chánh", Ward!$Y$2:$Z$17, IF(J143="Quận Bình Tân", Ward!$AA$2:$AB$11, IF(J143="Quận Bình Thạnh", Ward!$AC$2:$AD$21, IF(J143="Huyện Cần Giờ", Ward!$AE$2:$AF$8, IF(J143="Huyện Củ Chi", Ward!$AG$2:$AH$22, IF(J143="Quận Gò Vấp", Ward!$AI$2:$AJ$17, IF(J143="Huyện Hóc Môn", Ward!$AK$2:$AL$13, IF(J143="Huyện Nhà Bè", Ward!$AM$2:$AN$8, IF(J143="Quận Phú Nhuận", Ward!$AO$2:$AP$16, IF(J143="Quận Tân Bình", Ward!$AQ$2:$AR$16, IF(J143="Quận Tân Phú", Ward!$AS$2:$AT$12, IF(J143="Quận Thủ Đức", Ward!$AU$2:$AV$13)))))))))))))))))))))))), 2, FALSE), "")</f>
        <v/>
      </c>
      <c r="Y143" s="20" t="str">
        <f>IF(B143 &lt;&gt; "", VLOOKUP(B143, HospitalType!$A$2:$B$9, 2, FALSE), "")</f>
        <v/>
      </c>
    </row>
    <row r="144" spans="1:25" x14ac:dyDescent="0.25">
      <c r="A144" s="34"/>
      <c r="B144" s="24"/>
      <c r="C144" s="24"/>
      <c r="D144" s="24"/>
      <c r="E144" s="24"/>
      <c r="F144" s="24"/>
      <c r="G144" s="25"/>
      <c r="H144" s="25"/>
      <c r="I144" s="25"/>
      <c r="J144" s="25"/>
      <c r="K144" s="25"/>
      <c r="L144" s="25"/>
      <c r="M144" s="25"/>
      <c r="N144" s="25"/>
      <c r="O144" s="25"/>
      <c r="P144" s="25"/>
      <c r="Q144" s="24"/>
      <c r="R144" s="26"/>
      <c r="S144" s="26"/>
      <c r="T144" s="26"/>
      <c r="U144" s="27"/>
      <c r="V144" s="20" t="str">
        <f>IF(I144 &lt;&gt; "", VLOOKUP(I144, City!$A$1:$B$2, 2, FALSE), "" )</f>
        <v/>
      </c>
      <c r="W144" s="20" t="str">
        <f>IF(J144 &lt;&gt; "", VLOOKUP(J144, District!$A$1:$B$25, 2, FALSE), "")</f>
        <v/>
      </c>
      <c r="X144" s="21" t="str">
        <f>IF(K144 &lt;&gt; "", VLOOKUP(K144, IF(J144="Quận 1", Ward!$A$2:$B$11, IF(J144="Quận 2", Ward!$C$2:$D$12, IF(J144="Quận 3", Ward!$E$2:$F$15, IF(J144="Quận 4", Ward!$G$2:$H$16, IF(J144="Quận 5", Ward!$I$2:$J$16, IF(J144="Quận 6", Ward!$K$2:$L$15, IF(J144="Quận 7", Ward!$M$2:$N$11, IF(J144="Quận 8", Ward!$O$2:$P$17, IF(J144="Quận 9", Ward!$Q$2:$R$14, IF(J144="Quận 10", Ward!$S$2:$T$16, IF(J144="Quận 11", Ward!$U$2:$V$17, IF(J144="Quận 12", Ward!$W$2:$X$12, IF(J144="Huyện Bình Chánh", Ward!$Y$2:$Z$17, IF(J144="Quận Bình Tân", Ward!$AA$2:$AB$11, IF(J144="Quận Bình Thạnh", Ward!$AC$2:$AD$21, IF(J144="Huyện Cần Giờ", Ward!$AE$2:$AF$8, IF(J144="Huyện Củ Chi", Ward!$AG$2:$AH$22, IF(J144="Quận Gò Vấp", Ward!$AI$2:$AJ$17, IF(J144="Huyện Hóc Môn", Ward!$AK$2:$AL$13, IF(J144="Huyện Nhà Bè", Ward!$AM$2:$AN$8, IF(J144="Quận Phú Nhuận", Ward!$AO$2:$AP$16, IF(J144="Quận Tân Bình", Ward!$AQ$2:$AR$16, IF(J144="Quận Tân Phú", Ward!$AS$2:$AT$12, IF(J144="Quận Thủ Đức", Ward!$AU$2:$AV$13)))))))))))))))))))))))), 2, FALSE), "")</f>
        <v/>
      </c>
      <c r="Y144" s="20" t="str">
        <f>IF(B144 &lt;&gt; "", VLOOKUP(B144, HospitalType!$A$2:$B$9, 2, FALSE), "")</f>
        <v/>
      </c>
    </row>
    <row r="145" spans="1:25" x14ac:dyDescent="0.25">
      <c r="A145" s="34"/>
      <c r="B145" s="24"/>
      <c r="C145" s="24"/>
      <c r="D145" s="24"/>
      <c r="E145" s="24"/>
      <c r="F145" s="24"/>
      <c r="G145" s="25"/>
      <c r="H145" s="25"/>
      <c r="I145" s="25"/>
      <c r="J145" s="25"/>
      <c r="K145" s="25"/>
      <c r="L145" s="25"/>
      <c r="M145" s="25"/>
      <c r="N145" s="25"/>
      <c r="O145" s="25"/>
      <c r="P145" s="25"/>
      <c r="Q145" s="24"/>
      <c r="R145" s="26"/>
      <c r="S145" s="26"/>
      <c r="T145" s="26"/>
      <c r="U145" s="27"/>
      <c r="V145" s="20" t="str">
        <f>IF(I145 &lt;&gt; "", VLOOKUP(I145, City!$A$1:$B$2, 2, FALSE), "" )</f>
        <v/>
      </c>
      <c r="W145" s="20" t="str">
        <f>IF(J145 &lt;&gt; "", VLOOKUP(J145, District!$A$1:$B$25, 2, FALSE), "")</f>
        <v/>
      </c>
      <c r="X145" s="21" t="str">
        <f>IF(K145 &lt;&gt; "", VLOOKUP(K145, IF(J145="Quận 1", Ward!$A$2:$B$11, IF(J145="Quận 2", Ward!$C$2:$D$12, IF(J145="Quận 3", Ward!$E$2:$F$15, IF(J145="Quận 4", Ward!$G$2:$H$16, IF(J145="Quận 5", Ward!$I$2:$J$16, IF(J145="Quận 6", Ward!$K$2:$L$15, IF(J145="Quận 7", Ward!$M$2:$N$11, IF(J145="Quận 8", Ward!$O$2:$P$17, IF(J145="Quận 9", Ward!$Q$2:$R$14, IF(J145="Quận 10", Ward!$S$2:$T$16, IF(J145="Quận 11", Ward!$U$2:$V$17, IF(J145="Quận 12", Ward!$W$2:$X$12, IF(J145="Huyện Bình Chánh", Ward!$Y$2:$Z$17, IF(J145="Quận Bình Tân", Ward!$AA$2:$AB$11, IF(J145="Quận Bình Thạnh", Ward!$AC$2:$AD$21, IF(J145="Huyện Cần Giờ", Ward!$AE$2:$AF$8, IF(J145="Huyện Củ Chi", Ward!$AG$2:$AH$22, IF(J145="Quận Gò Vấp", Ward!$AI$2:$AJ$17, IF(J145="Huyện Hóc Môn", Ward!$AK$2:$AL$13, IF(J145="Huyện Nhà Bè", Ward!$AM$2:$AN$8, IF(J145="Quận Phú Nhuận", Ward!$AO$2:$AP$16, IF(J145="Quận Tân Bình", Ward!$AQ$2:$AR$16, IF(J145="Quận Tân Phú", Ward!$AS$2:$AT$12, IF(J145="Quận Thủ Đức", Ward!$AU$2:$AV$13)))))))))))))))))))))))), 2, FALSE), "")</f>
        <v/>
      </c>
      <c r="Y145" s="20" t="str">
        <f>IF(B145 &lt;&gt; "", VLOOKUP(B145, HospitalType!$A$2:$B$9, 2, FALSE), "")</f>
        <v/>
      </c>
    </row>
    <row r="146" spans="1:25" x14ac:dyDescent="0.25">
      <c r="A146" s="34"/>
      <c r="B146" s="24"/>
      <c r="C146" s="24"/>
      <c r="D146" s="24"/>
      <c r="E146" s="24"/>
      <c r="F146" s="24"/>
      <c r="G146" s="25"/>
      <c r="H146" s="25"/>
      <c r="I146" s="25"/>
      <c r="J146" s="25"/>
      <c r="K146" s="25"/>
      <c r="L146" s="25"/>
      <c r="M146" s="25"/>
      <c r="N146" s="25"/>
      <c r="O146" s="25"/>
      <c r="P146" s="25"/>
      <c r="Q146" s="24"/>
      <c r="R146" s="26"/>
      <c r="S146" s="26"/>
      <c r="T146" s="26"/>
      <c r="U146" s="27"/>
      <c r="V146" s="20" t="str">
        <f>IF(I146 &lt;&gt; "", VLOOKUP(I146, City!$A$1:$B$2, 2, FALSE), "" )</f>
        <v/>
      </c>
      <c r="W146" s="20" t="str">
        <f>IF(J146 &lt;&gt; "", VLOOKUP(J146, District!$A$1:$B$25, 2, FALSE), "")</f>
        <v/>
      </c>
      <c r="X146" s="21" t="str">
        <f>IF(K146 &lt;&gt; "", VLOOKUP(K146, IF(J146="Quận 1", Ward!$A$2:$B$11, IF(J146="Quận 2", Ward!$C$2:$D$12, IF(J146="Quận 3", Ward!$E$2:$F$15, IF(J146="Quận 4", Ward!$G$2:$H$16, IF(J146="Quận 5", Ward!$I$2:$J$16, IF(J146="Quận 6", Ward!$K$2:$L$15, IF(J146="Quận 7", Ward!$M$2:$N$11, IF(J146="Quận 8", Ward!$O$2:$P$17, IF(J146="Quận 9", Ward!$Q$2:$R$14, IF(J146="Quận 10", Ward!$S$2:$T$16, IF(J146="Quận 11", Ward!$U$2:$V$17, IF(J146="Quận 12", Ward!$W$2:$X$12, IF(J146="Huyện Bình Chánh", Ward!$Y$2:$Z$17, IF(J146="Quận Bình Tân", Ward!$AA$2:$AB$11, IF(J146="Quận Bình Thạnh", Ward!$AC$2:$AD$21, IF(J146="Huyện Cần Giờ", Ward!$AE$2:$AF$8, IF(J146="Huyện Củ Chi", Ward!$AG$2:$AH$22, IF(J146="Quận Gò Vấp", Ward!$AI$2:$AJ$17, IF(J146="Huyện Hóc Môn", Ward!$AK$2:$AL$13, IF(J146="Huyện Nhà Bè", Ward!$AM$2:$AN$8, IF(J146="Quận Phú Nhuận", Ward!$AO$2:$AP$16, IF(J146="Quận Tân Bình", Ward!$AQ$2:$AR$16, IF(J146="Quận Tân Phú", Ward!$AS$2:$AT$12, IF(J146="Quận Thủ Đức", Ward!$AU$2:$AV$13)))))))))))))))))))))))), 2, FALSE), "")</f>
        <v/>
      </c>
      <c r="Y146" s="20" t="str">
        <f>IF(B146 &lt;&gt; "", VLOOKUP(B146, HospitalType!$A$2:$B$9, 2, FALSE), "")</f>
        <v/>
      </c>
    </row>
    <row r="147" spans="1:25" x14ac:dyDescent="0.25">
      <c r="A147" s="34"/>
      <c r="B147" s="24"/>
      <c r="C147" s="24"/>
      <c r="D147" s="24"/>
      <c r="E147" s="24"/>
      <c r="F147" s="24"/>
      <c r="G147" s="25"/>
      <c r="H147" s="25"/>
      <c r="I147" s="25"/>
      <c r="J147" s="25"/>
      <c r="K147" s="25"/>
      <c r="L147" s="25"/>
      <c r="M147" s="25"/>
      <c r="N147" s="25"/>
      <c r="O147" s="25"/>
      <c r="P147" s="25"/>
      <c r="Q147" s="24"/>
      <c r="R147" s="26"/>
      <c r="S147" s="26"/>
      <c r="T147" s="26"/>
      <c r="U147" s="27"/>
      <c r="V147" s="20" t="str">
        <f>IF(I147 &lt;&gt; "", VLOOKUP(I147, City!$A$1:$B$2, 2, FALSE), "" )</f>
        <v/>
      </c>
      <c r="W147" s="20" t="str">
        <f>IF(J147 &lt;&gt; "", VLOOKUP(J147, District!$A$1:$B$25, 2, FALSE), "")</f>
        <v/>
      </c>
      <c r="X147" s="21" t="str">
        <f>IF(K147 &lt;&gt; "", VLOOKUP(K147, IF(J147="Quận 1", Ward!$A$2:$B$11, IF(J147="Quận 2", Ward!$C$2:$D$12, IF(J147="Quận 3", Ward!$E$2:$F$15, IF(J147="Quận 4", Ward!$G$2:$H$16, IF(J147="Quận 5", Ward!$I$2:$J$16, IF(J147="Quận 6", Ward!$K$2:$L$15, IF(J147="Quận 7", Ward!$M$2:$N$11, IF(J147="Quận 8", Ward!$O$2:$P$17, IF(J147="Quận 9", Ward!$Q$2:$R$14, IF(J147="Quận 10", Ward!$S$2:$T$16, IF(J147="Quận 11", Ward!$U$2:$V$17, IF(J147="Quận 12", Ward!$W$2:$X$12, IF(J147="Huyện Bình Chánh", Ward!$Y$2:$Z$17, IF(J147="Quận Bình Tân", Ward!$AA$2:$AB$11, IF(J147="Quận Bình Thạnh", Ward!$AC$2:$AD$21, IF(J147="Huyện Cần Giờ", Ward!$AE$2:$AF$8, IF(J147="Huyện Củ Chi", Ward!$AG$2:$AH$22, IF(J147="Quận Gò Vấp", Ward!$AI$2:$AJ$17, IF(J147="Huyện Hóc Môn", Ward!$AK$2:$AL$13, IF(J147="Huyện Nhà Bè", Ward!$AM$2:$AN$8, IF(J147="Quận Phú Nhuận", Ward!$AO$2:$AP$16, IF(J147="Quận Tân Bình", Ward!$AQ$2:$AR$16, IF(J147="Quận Tân Phú", Ward!$AS$2:$AT$12, IF(J147="Quận Thủ Đức", Ward!$AU$2:$AV$13)))))))))))))))))))))))), 2, FALSE), "")</f>
        <v/>
      </c>
      <c r="Y147" s="20" t="str">
        <f>IF(B147 &lt;&gt; "", VLOOKUP(B147, HospitalType!$A$2:$B$9, 2, FALSE), "")</f>
        <v/>
      </c>
    </row>
    <row r="148" spans="1:25" x14ac:dyDescent="0.25">
      <c r="A148" s="34"/>
      <c r="B148" s="24"/>
      <c r="C148" s="24"/>
      <c r="D148" s="24"/>
      <c r="E148" s="24"/>
      <c r="F148" s="24"/>
      <c r="G148" s="25"/>
      <c r="H148" s="25"/>
      <c r="I148" s="25"/>
      <c r="J148" s="25"/>
      <c r="K148" s="25"/>
      <c r="L148" s="25"/>
      <c r="M148" s="25"/>
      <c r="N148" s="25"/>
      <c r="O148" s="25"/>
      <c r="P148" s="25"/>
      <c r="Q148" s="24"/>
      <c r="R148" s="26"/>
      <c r="S148" s="26"/>
      <c r="T148" s="26"/>
      <c r="U148" s="27"/>
      <c r="V148" s="20" t="str">
        <f>IF(I148 &lt;&gt; "", VLOOKUP(I148, City!$A$1:$B$2, 2, FALSE), "" )</f>
        <v/>
      </c>
      <c r="W148" s="20" t="str">
        <f>IF(J148 &lt;&gt; "", VLOOKUP(J148, District!$A$1:$B$25, 2, FALSE), "")</f>
        <v/>
      </c>
      <c r="X148" s="21" t="str">
        <f>IF(K148 &lt;&gt; "", VLOOKUP(K148, IF(J148="Quận 1", Ward!$A$2:$B$11, IF(J148="Quận 2", Ward!$C$2:$D$12, IF(J148="Quận 3", Ward!$E$2:$F$15, IF(J148="Quận 4", Ward!$G$2:$H$16, IF(J148="Quận 5", Ward!$I$2:$J$16, IF(J148="Quận 6", Ward!$K$2:$L$15, IF(J148="Quận 7", Ward!$M$2:$N$11, IF(J148="Quận 8", Ward!$O$2:$P$17, IF(J148="Quận 9", Ward!$Q$2:$R$14, IF(J148="Quận 10", Ward!$S$2:$T$16, IF(J148="Quận 11", Ward!$U$2:$V$17, IF(J148="Quận 12", Ward!$W$2:$X$12, IF(J148="Huyện Bình Chánh", Ward!$Y$2:$Z$17, IF(J148="Quận Bình Tân", Ward!$AA$2:$AB$11, IF(J148="Quận Bình Thạnh", Ward!$AC$2:$AD$21, IF(J148="Huyện Cần Giờ", Ward!$AE$2:$AF$8, IF(J148="Huyện Củ Chi", Ward!$AG$2:$AH$22, IF(J148="Quận Gò Vấp", Ward!$AI$2:$AJ$17, IF(J148="Huyện Hóc Môn", Ward!$AK$2:$AL$13, IF(J148="Huyện Nhà Bè", Ward!$AM$2:$AN$8, IF(J148="Quận Phú Nhuận", Ward!$AO$2:$AP$16, IF(J148="Quận Tân Bình", Ward!$AQ$2:$AR$16, IF(J148="Quận Tân Phú", Ward!$AS$2:$AT$12, IF(J148="Quận Thủ Đức", Ward!$AU$2:$AV$13)))))))))))))))))))))))), 2, FALSE), "")</f>
        <v/>
      </c>
      <c r="Y148" s="20" t="str">
        <f>IF(B148 &lt;&gt; "", VLOOKUP(B148, HospitalType!$A$2:$B$9, 2, FALSE), "")</f>
        <v/>
      </c>
    </row>
    <row r="149" spans="1:25" x14ac:dyDescent="0.25">
      <c r="A149" s="34"/>
      <c r="B149" s="24"/>
      <c r="C149" s="24"/>
      <c r="D149" s="24"/>
      <c r="E149" s="24"/>
      <c r="F149" s="24"/>
      <c r="G149" s="25"/>
      <c r="H149" s="25"/>
      <c r="I149" s="25"/>
      <c r="J149" s="25"/>
      <c r="K149" s="25"/>
      <c r="L149" s="25"/>
      <c r="M149" s="25"/>
      <c r="N149" s="25"/>
      <c r="O149" s="25"/>
      <c r="P149" s="25"/>
      <c r="Q149" s="24"/>
      <c r="R149" s="26"/>
      <c r="S149" s="26"/>
      <c r="T149" s="26"/>
      <c r="U149" s="27"/>
      <c r="V149" s="20" t="str">
        <f>IF(I149 &lt;&gt; "", VLOOKUP(I149, City!$A$1:$B$2, 2, FALSE), "" )</f>
        <v/>
      </c>
      <c r="W149" s="20" t="str">
        <f>IF(J149 &lt;&gt; "", VLOOKUP(J149, District!$A$1:$B$25, 2, FALSE), "")</f>
        <v/>
      </c>
      <c r="X149" s="21" t="str">
        <f>IF(K149 &lt;&gt; "", VLOOKUP(K149, IF(J149="Quận 1", Ward!$A$2:$B$11, IF(J149="Quận 2", Ward!$C$2:$D$12, IF(J149="Quận 3", Ward!$E$2:$F$15, IF(J149="Quận 4", Ward!$G$2:$H$16, IF(J149="Quận 5", Ward!$I$2:$J$16, IF(J149="Quận 6", Ward!$K$2:$L$15, IF(J149="Quận 7", Ward!$M$2:$N$11, IF(J149="Quận 8", Ward!$O$2:$P$17, IF(J149="Quận 9", Ward!$Q$2:$R$14, IF(J149="Quận 10", Ward!$S$2:$T$16, IF(J149="Quận 11", Ward!$U$2:$V$17, IF(J149="Quận 12", Ward!$W$2:$X$12, IF(J149="Huyện Bình Chánh", Ward!$Y$2:$Z$17, IF(J149="Quận Bình Tân", Ward!$AA$2:$AB$11, IF(J149="Quận Bình Thạnh", Ward!$AC$2:$AD$21, IF(J149="Huyện Cần Giờ", Ward!$AE$2:$AF$8, IF(J149="Huyện Củ Chi", Ward!$AG$2:$AH$22, IF(J149="Quận Gò Vấp", Ward!$AI$2:$AJ$17, IF(J149="Huyện Hóc Môn", Ward!$AK$2:$AL$13, IF(J149="Huyện Nhà Bè", Ward!$AM$2:$AN$8, IF(J149="Quận Phú Nhuận", Ward!$AO$2:$AP$16, IF(J149="Quận Tân Bình", Ward!$AQ$2:$AR$16, IF(J149="Quận Tân Phú", Ward!$AS$2:$AT$12, IF(J149="Quận Thủ Đức", Ward!$AU$2:$AV$13)))))))))))))))))))))))), 2, FALSE), "")</f>
        <v/>
      </c>
      <c r="Y149" s="20" t="str">
        <f>IF(B149 &lt;&gt; "", VLOOKUP(B149, HospitalType!$A$2:$B$9, 2, FALSE), "")</f>
        <v/>
      </c>
    </row>
    <row r="150" spans="1:25" x14ac:dyDescent="0.25">
      <c r="A150" s="34"/>
      <c r="B150" s="24"/>
      <c r="C150" s="24"/>
      <c r="D150" s="24"/>
      <c r="E150" s="24"/>
      <c r="F150" s="24"/>
      <c r="G150" s="25"/>
      <c r="H150" s="25"/>
      <c r="I150" s="25"/>
      <c r="J150" s="25"/>
      <c r="K150" s="25"/>
      <c r="L150" s="25"/>
      <c r="M150" s="25"/>
      <c r="N150" s="25"/>
      <c r="O150" s="25"/>
      <c r="P150" s="25"/>
      <c r="Q150" s="24"/>
      <c r="R150" s="26"/>
      <c r="S150" s="26"/>
      <c r="T150" s="26"/>
      <c r="U150" s="27"/>
      <c r="V150" s="20" t="str">
        <f>IF(I150 &lt;&gt; "", VLOOKUP(I150, City!$A$1:$B$2, 2, FALSE), "" )</f>
        <v/>
      </c>
      <c r="W150" s="20" t="str">
        <f>IF(J150 &lt;&gt; "", VLOOKUP(J150, District!$A$1:$B$25, 2, FALSE), "")</f>
        <v/>
      </c>
      <c r="X150" s="21" t="str">
        <f>IF(K150 &lt;&gt; "", VLOOKUP(K150, IF(J150="Quận 1", Ward!$A$2:$B$11, IF(J150="Quận 2", Ward!$C$2:$D$12, IF(J150="Quận 3", Ward!$E$2:$F$15, IF(J150="Quận 4", Ward!$G$2:$H$16, IF(J150="Quận 5", Ward!$I$2:$J$16, IF(J150="Quận 6", Ward!$K$2:$L$15, IF(J150="Quận 7", Ward!$M$2:$N$11, IF(J150="Quận 8", Ward!$O$2:$P$17, IF(J150="Quận 9", Ward!$Q$2:$R$14, IF(J150="Quận 10", Ward!$S$2:$T$16, IF(J150="Quận 11", Ward!$U$2:$V$17, IF(J150="Quận 12", Ward!$W$2:$X$12, IF(J150="Huyện Bình Chánh", Ward!$Y$2:$Z$17, IF(J150="Quận Bình Tân", Ward!$AA$2:$AB$11, IF(J150="Quận Bình Thạnh", Ward!$AC$2:$AD$21, IF(J150="Huyện Cần Giờ", Ward!$AE$2:$AF$8, IF(J150="Huyện Củ Chi", Ward!$AG$2:$AH$22, IF(J150="Quận Gò Vấp", Ward!$AI$2:$AJ$17, IF(J150="Huyện Hóc Môn", Ward!$AK$2:$AL$13, IF(J150="Huyện Nhà Bè", Ward!$AM$2:$AN$8, IF(J150="Quận Phú Nhuận", Ward!$AO$2:$AP$16, IF(J150="Quận Tân Bình", Ward!$AQ$2:$AR$16, IF(J150="Quận Tân Phú", Ward!$AS$2:$AT$12, IF(J150="Quận Thủ Đức", Ward!$AU$2:$AV$13)))))))))))))))))))))))), 2, FALSE), "")</f>
        <v/>
      </c>
      <c r="Y150" s="20" t="str">
        <f>IF(B150 &lt;&gt; "", VLOOKUP(B150, HospitalType!$A$2:$B$9, 2, FALSE), "")</f>
        <v/>
      </c>
    </row>
    <row r="151" spans="1:25" x14ac:dyDescent="0.25">
      <c r="A151" s="34"/>
      <c r="B151" s="24"/>
      <c r="C151" s="24"/>
      <c r="D151" s="24"/>
      <c r="E151" s="24"/>
      <c r="F151" s="24"/>
      <c r="G151" s="25"/>
      <c r="H151" s="25"/>
      <c r="I151" s="25"/>
      <c r="J151" s="25"/>
      <c r="K151" s="25"/>
      <c r="L151" s="25"/>
      <c r="M151" s="25"/>
      <c r="N151" s="25"/>
      <c r="O151" s="25"/>
      <c r="P151" s="25"/>
      <c r="Q151" s="24"/>
      <c r="R151" s="26"/>
      <c r="S151" s="26"/>
      <c r="T151" s="26"/>
      <c r="U151" s="27"/>
      <c r="V151" s="20" t="str">
        <f>IF(I151 &lt;&gt; "", VLOOKUP(I151, City!$A$1:$B$2, 2, FALSE), "" )</f>
        <v/>
      </c>
      <c r="W151" s="20" t="str">
        <f>IF(J151 &lt;&gt; "", VLOOKUP(J151, District!$A$1:$B$25, 2, FALSE), "")</f>
        <v/>
      </c>
      <c r="X151" s="21" t="str">
        <f>IF(K151 &lt;&gt; "", VLOOKUP(K151, IF(J151="Quận 1", Ward!$A$2:$B$11, IF(J151="Quận 2", Ward!$C$2:$D$12, IF(J151="Quận 3", Ward!$E$2:$F$15, IF(J151="Quận 4", Ward!$G$2:$H$16, IF(J151="Quận 5", Ward!$I$2:$J$16, IF(J151="Quận 6", Ward!$K$2:$L$15, IF(J151="Quận 7", Ward!$M$2:$N$11, IF(J151="Quận 8", Ward!$O$2:$P$17, IF(J151="Quận 9", Ward!$Q$2:$R$14, IF(J151="Quận 10", Ward!$S$2:$T$16, IF(J151="Quận 11", Ward!$U$2:$V$17, IF(J151="Quận 12", Ward!$W$2:$X$12, IF(J151="Huyện Bình Chánh", Ward!$Y$2:$Z$17, IF(J151="Quận Bình Tân", Ward!$AA$2:$AB$11, IF(J151="Quận Bình Thạnh", Ward!$AC$2:$AD$21, IF(J151="Huyện Cần Giờ", Ward!$AE$2:$AF$8, IF(J151="Huyện Củ Chi", Ward!$AG$2:$AH$22, IF(J151="Quận Gò Vấp", Ward!$AI$2:$AJ$17, IF(J151="Huyện Hóc Môn", Ward!$AK$2:$AL$13, IF(J151="Huyện Nhà Bè", Ward!$AM$2:$AN$8, IF(J151="Quận Phú Nhuận", Ward!$AO$2:$AP$16, IF(J151="Quận Tân Bình", Ward!$AQ$2:$AR$16, IF(J151="Quận Tân Phú", Ward!$AS$2:$AT$12, IF(J151="Quận Thủ Đức", Ward!$AU$2:$AV$13)))))))))))))))))))))))), 2, FALSE), "")</f>
        <v/>
      </c>
      <c r="Y151" s="20" t="str">
        <f>IF(B151 &lt;&gt; "", VLOOKUP(B151, HospitalType!$A$2:$B$9, 2, FALSE), "")</f>
        <v/>
      </c>
    </row>
    <row r="152" spans="1:25" x14ac:dyDescent="0.25">
      <c r="A152" s="34"/>
      <c r="B152" s="24"/>
      <c r="C152" s="24"/>
      <c r="D152" s="24"/>
      <c r="E152" s="24"/>
      <c r="F152" s="24"/>
      <c r="G152" s="25"/>
      <c r="H152" s="25"/>
      <c r="I152" s="25"/>
      <c r="J152" s="25"/>
      <c r="K152" s="25"/>
      <c r="L152" s="25"/>
      <c r="M152" s="25"/>
      <c r="N152" s="25"/>
      <c r="O152" s="25"/>
      <c r="P152" s="25"/>
      <c r="Q152" s="24"/>
      <c r="R152" s="26"/>
      <c r="S152" s="26"/>
      <c r="T152" s="26"/>
      <c r="U152" s="27"/>
      <c r="V152" s="20" t="str">
        <f>IF(I152 &lt;&gt; "", VLOOKUP(I152, City!$A$1:$B$2, 2, FALSE), "" )</f>
        <v/>
      </c>
      <c r="W152" s="20" t="str">
        <f>IF(J152 &lt;&gt; "", VLOOKUP(J152, District!$A$1:$B$25, 2, FALSE), "")</f>
        <v/>
      </c>
      <c r="X152" s="21" t="str">
        <f>IF(K152 &lt;&gt; "", VLOOKUP(K152, IF(J152="Quận 1", Ward!$A$2:$B$11, IF(J152="Quận 2", Ward!$C$2:$D$12, IF(J152="Quận 3", Ward!$E$2:$F$15, IF(J152="Quận 4", Ward!$G$2:$H$16, IF(J152="Quận 5", Ward!$I$2:$J$16, IF(J152="Quận 6", Ward!$K$2:$L$15, IF(J152="Quận 7", Ward!$M$2:$N$11, IF(J152="Quận 8", Ward!$O$2:$P$17, IF(J152="Quận 9", Ward!$Q$2:$R$14, IF(J152="Quận 10", Ward!$S$2:$T$16, IF(J152="Quận 11", Ward!$U$2:$V$17, IF(J152="Quận 12", Ward!$W$2:$X$12, IF(J152="Huyện Bình Chánh", Ward!$Y$2:$Z$17, IF(J152="Quận Bình Tân", Ward!$AA$2:$AB$11, IF(J152="Quận Bình Thạnh", Ward!$AC$2:$AD$21, IF(J152="Huyện Cần Giờ", Ward!$AE$2:$AF$8, IF(J152="Huyện Củ Chi", Ward!$AG$2:$AH$22, IF(J152="Quận Gò Vấp", Ward!$AI$2:$AJ$17, IF(J152="Huyện Hóc Môn", Ward!$AK$2:$AL$13, IF(J152="Huyện Nhà Bè", Ward!$AM$2:$AN$8, IF(J152="Quận Phú Nhuận", Ward!$AO$2:$AP$16, IF(J152="Quận Tân Bình", Ward!$AQ$2:$AR$16, IF(J152="Quận Tân Phú", Ward!$AS$2:$AT$12, IF(J152="Quận Thủ Đức", Ward!$AU$2:$AV$13)))))))))))))))))))))))), 2, FALSE), "")</f>
        <v/>
      </c>
      <c r="Y152" s="20" t="str">
        <f>IF(B152 &lt;&gt; "", VLOOKUP(B152, HospitalType!$A$2:$B$9, 2, FALSE), "")</f>
        <v/>
      </c>
    </row>
    <row r="153" spans="1:25" x14ac:dyDescent="0.25">
      <c r="A153" s="34"/>
      <c r="B153" s="24"/>
      <c r="C153" s="24"/>
      <c r="D153" s="24"/>
      <c r="E153" s="24"/>
      <c r="F153" s="24"/>
      <c r="G153" s="25"/>
      <c r="H153" s="25"/>
      <c r="I153" s="25"/>
      <c r="J153" s="25"/>
      <c r="K153" s="25"/>
      <c r="L153" s="25"/>
      <c r="M153" s="25"/>
      <c r="N153" s="25"/>
      <c r="O153" s="25"/>
      <c r="P153" s="25"/>
      <c r="Q153" s="24"/>
      <c r="R153" s="26"/>
      <c r="S153" s="26"/>
      <c r="T153" s="26"/>
      <c r="U153" s="27"/>
      <c r="V153" s="20" t="str">
        <f>IF(I153 &lt;&gt; "", VLOOKUP(I153, City!$A$1:$B$2, 2, FALSE), "" )</f>
        <v/>
      </c>
      <c r="W153" s="20" t="str">
        <f>IF(J153 &lt;&gt; "", VLOOKUP(J153, District!$A$1:$B$25, 2, FALSE), "")</f>
        <v/>
      </c>
      <c r="X153" s="21" t="str">
        <f>IF(K153 &lt;&gt; "", VLOOKUP(K153, IF(J153="Quận 1", Ward!$A$2:$B$11, IF(J153="Quận 2", Ward!$C$2:$D$12, IF(J153="Quận 3", Ward!$E$2:$F$15, IF(J153="Quận 4", Ward!$G$2:$H$16, IF(J153="Quận 5", Ward!$I$2:$J$16, IF(J153="Quận 6", Ward!$K$2:$L$15, IF(J153="Quận 7", Ward!$M$2:$N$11, IF(J153="Quận 8", Ward!$O$2:$P$17, IF(J153="Quận 9", Ward!$Q$2:$R$14, IF(J153="Quận 10", Ward!$S$2:$T$16, IF(J153="Quận 11", Ward!$U$2:$V$17, IF(J153="Quận 12", Ward!$W$2:$X$12, IF(J153="Huyện Bình Chánh", Ward!$Y$2:$Z$17, IF(J153="Quận Bình Tân", Ward!$AA$2:$AB$11, IF(J153="Quận Bình Thạnh", Ward!$AC$2:$AD$21, IF(J153="Huyện Cần Giờ", Ward!$AE$2:$AF$8, IF(J153="Huyện Củ Chi", Ward!$AG$2:$AH$22, IF(J153="Quận Gò Vấp", Ward!$AI$2:$AJ$17, IF(J153="Huyện Hóc Môn", Ward!$AK$2:$AL$13, IF(J153="Huyện Nhà Bè", Ward!$AM$2:$AN$8, IF(J153="Quận Phú Nhuận", Ward!$AO$2:$AP$16, IF(J153="Quận Tân Bình", Ward!$AQ$2:$AR$16, IF(J153="Quận Tân Phú", Ward!$AS$2:$AT$12, IF(J153="Quận Thủ Đức", Ward!$AU$2:$AV$13)))))))))))))))))))))))), 2, FALSE), "")</f>
        <v/>
      </c>
      <c r="Y153" s="20" t="str">
        <f>IF(B153 &lt;&gt; "", VLOOKUP(B153, HospitalType!$A$2:$B$9, 2, FALSE), "")</f>
        <v/>
      </c>
    </row>
    <row r="154" spans="1:25" x14ac:dyDescent="0.25">
      <c r="A154" s="34"/>
      <c r="B154" s="24"/>
      <c r="C154" s="24"/>
      <c r="D154" s="24"/>
      <c r="E154" s="24"/>
      <c r="F154" s="24"/>
      <c r="G154" s="25"/>
      <c r="H154" s="25"/>
      <c r="I154" s="25"/>
      <c r="J154" s="25"/>
      <c r="K154" s="25"/>
      <c r="L154" s="25"/>
      <c r="M154" s="25"/>
      <c r="N154" s="25"/>
      <c r="O154" s="25"/>
      <c r="P154" s="25"/>
      <c r="Q154" s="24"/>
      <c r="R154" s="26"/>
      <c r="S154" s="26"/>
      <c r="T154" s="26"/>
      <c r="U154" s="27"/>
      <c r="V154" s="20" t="str">
        <f>IF(I154 &lt;&gt; "", VLOOKUP(I154, City!$A$1:$B$2, 2, FALSE), "" )</f>
        <v/>
      </c>
      <c r="W154" s="20" t="str">
        <f>IF(J154 &lt;&gt; "", VLOOKUP(J154, District!$A$1:$B$25, 2, FALSE), "")</f>
        <v/>
      </c>
      <c r="X154" s="21" t="str">
        <f>IF(K154 &lt;&gt; "", VLOOKUP(K154, IF(J154="Quận 1", Ward!$A$2:$B$11, IF(J154="Quận 2", Ward!$C$2:$D$12, IF(J154="Quận 3", Ward!$E$2:$F$15, IF(J154="Quận 4", Ward!$G$2:$H$16, IF(J154="Quận 5", Ward!$I$2:$J$16, IF(J154="Quận 6", Ward!$K$2:$L$15, IF(J154="Quận 7", Ward!$M$2:$N$11, IF(J154="Quận 8", Ward!$O$2:$P$17, IF(J154="Quận 9", Ward!$Q$2:$R$14, IF(J154="Quận 10", Ward!$S$2:$T$16, IF(J154="Quận 11", Ward!$U$2:$V$17, IF(J154="Quận 12", Ward!$W$2:$X$12, IF(J154="Huyện Bình Chánh", Ward!$Y$2:$Z$17, IF(J154="Quận Bình Tân", Ward!$AA$2:$AB$11, IF(J154="Quận Bình Thạnh", Ward!$AC$2:$AD$21, IF(J154="Huyện Cần Giờ", Ward!$AE$2:$AF$8, IF(J154="Huyện Củ Chi", Ward!$AG$2:$AH$22, IF(J154="Quận Gò Vấp", Ward!$AI$2:$AJ$17, IF(J154="Huyện Hóc Môn", Ward!$AK$2:$AL$13, IF(J154="Huyện Nhà Bè", Ward!$AM$2:$AN$8, IF(J154="Quận Phú Nhuận", Ward!$AO$2:$AP$16, IF(J154="Quận Tân Bình", Ward!$AQ$2:$AR$16, IF(J154="Quận Tân Phú", Ward!$AS$2:$AT$12, IF(J154="Quận Thủ Đức", Ward!$AU$2:$AV$13)))))))))))))))))))))))), 2, FALSE), "")</f>
        <v/>
      </c>
      <c r="Y154" s="20" t="str">
        <f>IF(B154 &lt;&gt; "", VLOOKUP(B154, HospitalType!$A$2:$B$9, 2, FALSE), "")</f>
        <v/>
      </c>
    </row>
    <row r="155" spans="1:25" x14ac:dyDescent="0.25">
      <c r="A155" s="34"/>
      <c r="B155" s="24"/>
      <c r="C155" s="24"/>
      <c r="D155" s="24"/>
      <c r="E155" s="24"/>
      <c r="F155" s="24"/>
      <c r="G155" s="25"/>
      <c r="H155" s="25"/>
      <c r="I155" s="25"/>
      <c r="J155" s="25"/>
      <c r="K155" s="25"/>
      <c r="L155" s="25"/>
      <c r="M155" s="25"/>
      <c r="N155" s="25"/>
      <c r="O155" s="25"/>
      <c r="P155" s="25"/>
      <c r="Q155" s="24"/>
      <c r="R155" s="26"/>
      <c r="S155" s="26"/>
      <c r="T155" s="26"/>
      <c r="U155" s="27"/>
      <c r="V155" s="20" t="str">
        <f>IF(I155 &lt;&gt; "", VLOOKUP(I155, City!$A$1:$B$2, 2, FALSE), "" )</f>
        <v/>
      </c>
      <c r="W155" s="20" t="str">
        <f>IF(J155 &lt;&gt; "", VLOOKUP(J155, District!$A$1:$B$25, 2, FALSE), "")</f>
        <v/>
      </c>
      <c r="X155" s="21" t="str">
        <f>IF(K155 &lt;&gt; "", VLOOKUP(K155, IF(J155="Quận 1", Ward!$A$2:$B$11, IF(J155="Quận 2", Ward!$C$2:$D$12, IF(J155="Quận 3", Ward!$E$2:$F$15, IF(J155="Quận 4", Ward!$G$2:$H$16, IF(J155="Quận 5", Ward!$I$2:$J$16, IF(J155="Quận 6", Ward!$K$2:$L$15, IF(J155="Quận 7", Ward!$M$2:$N$11, IF(J155="Quận 8", Ward!$O$2:$P$17, IF(J155="Quận 9", Ward!$Q$2:$R$14, IF(J155="Quận 10", Ward!$S$2:$T$16, IF(J155="Quận 11", Ward!$U$2:$V$17, IF(J155="Quận 12", Ward!$W$2:$X$12, IF(J155="Huyện Bình Chánh", Ward!$Y$2:$Z$17, IF(J155="Quận Bình Tân", Ward!$AA$2:$AB$11, IF(J155="Quận Bình Thạnh", Ward!$AC$2:$AD$21, IF(J155="Huyện Cần Giờ", Ward!$AE$2:$AF$8, IF(J155="Huyện Củ Chi", Ward!$AG$2:$AH$22, IF(J155="Quận Gò Vấp", Ward!$AI$2:$AJ$17, IF(J155="Huyện Hóc Môn", Ward!$AK$2:$AL$13, IF(J155="Huyện Nhà Bè", Ward!$AM$2:$AN$8, IF(J155="Quận Phú Nhuận", Ward!$AO$2:$AP$16, IF(J155="Quận Tân Bình", Ward!$AQ$2:$AR$16, IF(J155="Quận Tân Phú", Ward!$AS$2:$AT$12, IF(J155="Quận Thủ Đức", Ward!$AU$2:$AV$13)))))))))))))))))))))))), 2, FALSE), "")</f>
        <v/>
      </c>
      <c r="Y155" s="20" t="str">
        <f>IF(B155 &lt;&gt; "", VLOOKUP(B155, HospitalType!$A$2:$B$9, 2, FALSE), "")</f>
        <v/>
      </c>
    </row>
    <row r="156" spans="1:25" x14ac:dyDescent="0.25">
      <c r="A156" s="34"/>
      <c r="B156" s="24"/>
      <c r="C156" s="24"/>
      <c r="D156" s="24"/>
      <c r="E156" s="24"/>
      <c r="F156" s="24"/>
      <c r="G156" s="25"/>
      <c r="H156" s="25"/>
      <c r="I156" s="25"/>
      <c r="J156" s="25"/>
      <c r="K156" s="25"/>
      <c r="L156" s="25"/>
      <c r="M156" s="25"/>
      <c r="N156" s="25"/>
      <c r="O156" s="25"/>
      <c r="P156" s="25"/>
      <c r="Q156" s="24"/>
      <c r="R156" s="26"/>
      <c r="S156" s="26"/>
      <c r="T156" s="26"/>
      <c r="U156" s="27"/>
      <c r="V156" s="20" t="str">
        <f>IF(I156 &lt;&gt; "", VLOOKUP(I156, City!$A$1:$B$2, 2, FALSE), "" )</f>
        <v/>
      </c>
      <c r="W156" s="20" t="str">
        <f>IF(J156 &lt;&gt; "", VLOOKUP(J156, District!$A$1:$B$25, 2, FALSE), "")</f>
        <v/>
      </c>
      <c r="X156" s="21" t="str">
        <f>IF(K156 &lt;&gt; "", VLOOKUP(K156, IF(J156="Quận 1", Ward!$A$2:$B$11, IF(J156="Quận 2", Ward!$C$2:$D$12, IF(J156="Quận 3", Ward!$E$2:$F$15, IF(J156="Quận 4", Ward!$G$2:$H$16, IF(J156="Quận 5", Ward!$I$2:$J$16, IF(J156="Quận 6", Ward!$K$2:$L$15, IF(J156="Quận 7", Ward!$M$2:$N$11, IF(J156="Quận 8", Ward!$O$2:$P$17, IF(J156="Quận 9", Ward!$Q$2:$R$14, IF(J156="Quận 10", Ward!$S$2:$T$16, IF(J156="Quận 11", Ward!$U$2:$V$17, IF(J156="Quận 12", Ward!$W$2:$X$12, IF(J156="Huyện Bình Chánh", Ward!$Y$2:$Z$17, IF(J156="Quận Bình Tân", Ward!$AA$2:$AB$11, IF(J156="Quận Bình Thạnh", Ward!$AC$2:$AD$21, IF(J156="Huyện Cần Giờ", Ward!$AE$2:$AF$8, IF(J156="Huyện Củ Chi", Ward!$AG$2:$AH$22, IF(J156="Quận Gò Vấp", Ward!$AI$2:$AJ$17, IF(J156="Huyện Hóc Môn", Ward!$AK$2:$AL$13, IF(J156="Huyện Nhà Bè", Ward!$AM$2:$AN$8, IF(J156="Quận Phú Nhuận", Ward!$AO$2:$AP$16, IF(J156="Quận Tân Bình", Ward!$AQ$2:$AR$16, IF(J156="Quận Tân Phú", Ward!$AS$2:$AT$12, IF(J156="Quận Thủ Đức", Ward!$AU$2:$AV$13)))))))))))))))))))))))), 2, FALSE), "")</f>
        <v/>
      </c>
      <c r="Y156" s="20" t="str">
        <f>IF(B156 &lt;&gt; "", VLOOKUP(B156, HospitalType!$A$2:$B$9, 2, FALSE), "")</f>
        <v/>
      </c>
    </row>
    <row r="157" spans="1:25" x14ac:dyDescent="0.25">
      <c r="A157" s="34"/>
      <c r="B157" s="24"/>
      <c r="C157" s="24"/>
      <c r="D157" s="24"/>
      <c r="E157" s="24"/>
      <c r="F157" s="24"/>
      <c r="G157" s="25"/>
      <c r="H157" s="25"/>
      <c r="I157" s="25"/>
      <c r="J157" s="25"/>
      <c r="K157" s="25"/>
      <c r="L157" s="25"/>
      <c r="M157" s="25"/>
      <c r="N157" s="25"/>
      <c r="O157" s="25"/>
      <c r="P157" s="25"/>
      <c r="Q157" s="24"/>
      <c r="R157" s="26"/>
      <c r="S157" s="26"/>
      <c r="T157" s="26"/>
      <c r="U157" s="27"/>
      <c r="V157" s="20" t="str">
        <f>IF(I157 &lt;&gt; "", VLOOKUP(I157, City!$A$1:$B$2, 2, FALSE), "" )</f>
        <v/>
      </c>
      <c r="W157" s="20" t="str">
        <f>IF(J157 &lt;&gt; "", VLOOKUP(J157, District!$A$1:$B$25, 2, FALSE), "")</f>
        <v/>
      </c>
      <c r="X157" s="21" t="str">
        <f>IF(K157 &lt;&gt; "", VLOOKUP(K157, IF(J157="Quận 1", Ward!$A$2:$B$11, IF(J157="Quận 2", Ward!$C$2:$D$12, IF(J157="Quận 3", Ward!$E$2:$F$15, IF(J157="Quận 4", Ward!$G$2:$H$16, IF(J157="Quận 5", Ward!$I$2:$J$16, IF(J157="Quận 6", Ward!$K$2:$L$15, IF(J157="Quận 7", Ward!$M$2:$N$11, IF(J157="Quận 8", Ward!$O$2:$P$17, IF(J157="Quận 9", Ward!$Q$2:$R$14, IF(J157="Quận 10", Ward!$S$2:$T$16, IF(J157="Quận 11", Ward!$U$2:$V$17, IF(J157="Quận 12", Ward!$W$2:$X$12, IF(J157="Huyện Bình Chánh", Ward!$Y$2:$Z$17, IF(J157="Quận Bình Tân", Ward!$AA$2:$AB$11, IF(J157="Quận Bình Thạnh", Ward!$AC$2:$AD$21, IF(J157="Huyện Cần Giờ", Ward!$AE$2:$AF$8, IF(J157="Huyện Củ Chi", Ward!$AG$2:$AH$22, IF(J157="Quận Gò Vấp", Ward!$AI$2:$AJ$17, IF(J157="Huyện Hóc Môn", Ward!$AK$2:$AL$13, IF(J157="Huyện Nhà Bè", Ward!$AM$2:$AN$8, IF(J157="Quận Phú Nhuận", Ward!$AO$2:$AP$16, IF(J157="Quận Tân Bình", Ward!$AQ$2:$AR$16, IF(J157="Quận Tân Phú", Ward!$AS$2:$AT$12, IF(J157="Quận Thủ Đức", Ward!$AU$2:$AV$13)))))))))))))))))))))))), 2, FALSE), "")</f>
        <v/>
      </c>
      <c r="Y157" s="20" t="str">
        <f>IF(B157 &lt;&gt; "", VLOOKUP(B157, HospitalType!$A$2:$B$9, 2, FALSE), "")</f>
        <v/>
      </c>
    </row>
    <row r="158" spans="1:25" x14ac:dyDescent="0.25">
      <c r="A158" s="34"/>
      <c r="B158" s="24"/>
      <c r="C158" s="24"/>
      <c r="D158" s="24"/>
      <c r="E158" s="24"/>
      <c r="F158" s="24"/>
      <c r="G158" s="25"/>
      <c r="H158" s="25"/>
      <c r="I158" s="25"/>
      <c r="J158" s="25"/>
      <c r="K158" s="25"/>
      <c r="L158" s="25"/>
      <c r="M158" s="25"/>
      <c r="N158" s="25"/>
      <c r="O158" s="25"/>
      <c r="P158" s="25"/>
      <c r="Q158" s="24"/>
      <c r="R158" s="26"/>
      <c r="S158" s="26"/>
      <c r="T158" s="26"/>
      <c r="U158" s="27"/>
      <c r="V158" s="20" t="str">
        <f>IF(I158 &lt;&gt; "", VLOOKUP(I158, City!$A$1:$B$2, 2, FALSE), "" )</f>
        <v/>
      </c>
      <c r="W158" s="20" t="str">
        <f>IF(J158 &lt;&gt; "", VLOOKUP(J158, District!$A$1:$B$25, 2, FALSE), "")</f>
        <v/>
      </c>
      <c r="X158" s="21" t="str">
        <f>IF(K158 &lt;&gt; "", VLOOKUP(K158, IF(J158="Quận 1", Ward!$A$2:$B$11, IF(J158="Quận 2", Ward!$C$2:$D$12, IF(J158="Quận 3", Ward!$E$2:$F$15, IF(J158="Quận 4", Ward!$G$2:$H$16, IF(J158="Quận 5", Ward!$I$2:$J$16, IF(J158="Quận 6", Ward!$K$2:$L$15, IF(J158="Quận 7", Ward!$M$2:$N$11, IF(J158="Quận 8", Ward!$O$2:$P$17, IF(J158="Quận 9", Ward!$Q$2:$R$14, IF(J158="Quận 10", Ward!$S$2:$T$16, IF(J158="Quận 11", Ward!$U$2:$V$17, IF(J158="Quận 12", Ward!$W$2:$X$12, IF(J158="Huyện Bình Chánh", Ward!$Y$2:$Z$17, IF(J158="Quận Bình Tân", Ward!$AA$2:$AB$11, IF(J158="Quận Bình Thạnh", Ward!$AC$2:$AD$21, IF(J158="Huyện Cần Giờ", Ward!$AE$2:$AF$8, IF(J158="Huyện Củ Chi", Ward!$AG$2:$AH$22, IF(J158="Quận Gò Vấp", Ward!$AI$2:$AJ$17, IF(J158="Huyện Hóc Môn", Ward!$AK$2:$AL$13, IF(J158="Huyện Nhà Bè", Ward!$AM$2:$AN$8, IF(J158="Quận Phú Nhuận", Ward!$AO$2:$AP$16, IF(J158="Quận Tân Bình", Ward!$AQ$2:$AR$16, IF(J158="Quận Tân Phú", Ward!$AS$2:$AT$12, IF(J158="Quận Thủ Đức", Ward!$AU$2:$AV$13)))))))))))))))))))))))), 2, FALSE), "")</f>
        <v/>
      </c>
      <c r="Y158" s="20" t="str">
        <f>IF(B158 &lt;&gt; "", VLOOKUP(B158, HospitalType!$A$2:$B$9, 2, FALSE), "")</f>
        <v/>
      </c>
    </row>
    <row r="159" spans="1:25" x14ac:dyDescent="0.25">
      <c r="A159" s="34"/>
      <c r="B159" s="24"/>
      <c r="C159" s="24"/>
      <c r="D159" s="24"/>
      <c r="E159" s="24"/>
      <c r="F159" s="24"/>
      <c r="G159" s="25"/>
      <c r="H159" s="25"/>
      <c r="I159" s="25"/>
      <c r="J159" s="25"/>
      <c r="K159" s="25"/>
      <c r="L159" s="25"/>
      <c r="M159" s="25"/>
      <c r="N159" s="25"/>
      <c r="O159" s="25"/>
      <c r="P159" s="25"/>
      <c r="Q159" s="24"/>
      <c r="R159" s="26"/>
      <c r="S159" s="26"/>
      <c r="T159" s="26"/>
      <c r="U159" s="27"/>
      <c r="V159" s="20" t="str">
        <f>IF(I159 &lt;&gt; "", VLOOKUP(I159, City!$A$1:$B$2, 2, FALSE), "" )</f>
        <v/>
      </c>
      <c r="W159" s="20" t="str">
        <f>IF(J159 &lt;&gt; "", VLOOKUP(J159, District!$A$1:$B$25, 2, FALSE), "")</f>
        <v/>
      </c>
      <c r="X159" s="21" t="str">
        <f>IF(K159 &lt;&gt; "", VLOOKUP(K159, IF(J159="Quận 1", Ward!$A$2:$B$11, IF(J159="Quận 2", Ward!$C$2:$D$12, IF(J159="Quận 3", Ward!$E$2:$F$15, IF(J159="Quận 4", Ward!$G$2:$H$16, IF(J159="Quận 5", Ward!$I$2:$J$16, IF(J159="Quận 6", Ward!$K$2:$L$15, IF(J159="Quận 7", Ward!$M$2:$N$11, IF(J159="Quận 8", Ward!$O$2:$P$17, IF(J159="Quận 9", Ward!$Q$2:$R$14, IF(J159="Quận 10", Ward!$S$2:$T$16, IF(J159="Quận 11", Ward!$U$2:$V$17, IF(J159="Quận 12", Ward!$W$2:$X$12, IF(J159="Huyện Bình Chánh", Ward!$Y$2:$Z$17, IF(J159="Quận Bình Tân", Ward!$AA$2:$AB$11, IF(J159="Quận Bình Thạnh", Ward!$AC$2:$AD$21, IF(J159="Huyện Cần Giờ", Ward!$AE$2:$AF$8, IF(J159="Huyện Củ Chi", Ward!$AG$2:$AH$22, IF(J159="Quận Gò Vấp", Ward!$AI$2:$AJ$17, IF(J159="Huyện Hóc Môn", Ward!$AK$2:$AL$13, IF(J159="Huyện Nhà Bè", Ward!$AM$2:$AN$8, IF(J159="Quận Phú Nhuận", Ward!$AO$2:$AP$16, IF(J159="Quận Tân Bình", Ward!$AQ$2:$AR$16, IF(J159="Quận Tân Phú", Ward!$AS$2:$AT$12, IF(J159="Quận Thủ Đức", Ward!$AU$2:$AV$13)))))))))))))))))))))))), 2, FALSE), "")</f>
        <v/>
      </c>
      <c r="Y159" s="20" t="str">
        <f>IF(B159 &lt;&gt; "", VLOOKUP(B159, HospitalType!$A$2:$B$9, 2, FALSE), "")</f>
        <v/>
      </c>
    </row>
    <row r="160" spans="1:25" x14ac:dyDescent="0.25">
      <c r="A160" s="34"/>
      <c r="B160" s="24"/>
      <c r="C160" s="24"/>
      <c r="D160" s="24"/>
      <c r="E160" s="24"/>
      <c r="F160" s="24"/>
      <c r="G160" s="25"/>
      <c r="H160" s="25"/>
      <c r="I160" s="25"/>
      <c r="J160" s="25"/>
      <c r="K160" s="25"/>
      <c r="L160" s="25"/>
      <c r="M160" s="25"/>
      <c r="N160" s="25"/>
      <c r="O160" s="25"/>
      <c r="P160" s="25"/>
      <c r="Q160" s="24"/>
      <c r="R160" s="26"/>
      <c r="S160" s="26"/>
      <c r="T160" s="26"/>
      <c r="U160" s="27"/>
      <c r="V160" s="20" t="str">
        <f>IF(I160 &lt;&gt; "", VLOOKUP(I160, City!$A$1:$B$2, 2, FALSE), "" )</f>
        <v/>
      </c>
      <c r="W160" s="20" t="str">
        <f>IF(J160 &lt;&gt; "", VLOOKUP(J160, District!$A$1:$B$25, 2, FALSE), "")</f>
        <v/>
      </c>
      <c r="X160" s="21" t="str">
        <f>IF(K160 &lt;&gt; "", VLOOKUP(K160, IF(J160="Quận 1", Ward!$A$2:$B$11, IF(J160="Quận 2", Ward!$C$2:$D$12, IF(J160="Quận 3", Ward!$E$2:$F$15, IF(J160="Quận 4", Ward!$G$2:$H$16, IF(J160="Quận 5", Ward!$I$2:$J$16, IF(J160="Quận 6", Ward!$K$2:$L$15, IF(J160="Quận 7", Ward!$M$2:$N$11, IF(J160="Quận 8", Ward!$O$2:$P$17, IF(J160="Quận 9", Ward!$Q$2:$R$14, IF(J160="Quận 10", Ward!$S$2:$T$16, IF(J160="Quận 11", Ward!$U$2:$V$17, IF(J160="Quận 12", Ward!$W$2:$X$12, IF(J160="Huyện Bình Chánh", Ward!$Y$2:$Z$17, IF(J160="Quận Bình Tân", Ward!$AA$2:$AB$11, IF(J160="Quận Bình Thạnh", Ward!$AC$2:$AD$21, IF(J160="Huyện Cần Giờ", Ward!$AE$2:$AF$8, IF(J160="Huyện Củ Chi", Ward!$AG$2:$AH$22, IF(J160="Quận Gò Vấp", Ward!$AI$2:$AJ$17, IF(J160="Huyện Hóc Môn", Ward!$AK$2:$AL$13, IF(J160="Huyện Nhà Bè", Ward!$AM$2:$AN$8, IF(J160="Quận Phú Nhuận", Ward!$AO$2:$AP$16, IF(J160="Quận Tân Bình", Ward!$AQ$2:$AR$16, IF(J160="Quận Tân Phú", Ward!$AS$2:$AT$12, IF(J160="Quận Thủ Đức", Ward!$AU$2:$AV$13)))))))))))))))))))))))), 2, FALSE), "")</f>
        <v/>
      </c>
      <c r="Y160" s="20" t="str">
        <f>IF(B160 &lt;&gt; "", VLOOKUP(B160, HospitalType!$A$2:$B$9, 2, FALSE), "")</f>
        <v/>
      </c>
    </row>
    <row r="161" spans="1:25" x14ac:dyDescent="0.25">
      <c r="A161" s="34"/>
      <c r="B161" s="24"/>
      <c r="C161" s="24"/>
      <c r="D161" s="24"/>
      <c r="E161" s="24"/>
      <c r="F161" s="24"/>
      <c r="G161" s="25"/>
      <c r="H161" s="25"/>
      <c r="I161" s="25"/>
      <c r="J161" s="25"/>
      <c r="K161" s="25"/>
      <c r="L161" s="25"/>
      <c r="M161" s="25"/>
      <c r="N161" s="25"/>
      <c r="O161" s="25"/>
      <c r="P161" s="25"/>
      <c r="Q161" s="24"/>
      <c r="R161" s="26"/>
      <c r="S161" s="26"/>
      <c r="T161" s="26"/>
      <c r="U161" s="27"/>
      <c r="V161" s="20" t="str">
        <f>IF(I161 &lt;&gt; "", VLOOKUP(I161, City!$A$1:$B$2, 2, FALSE), "" )</f>
        <v/>
      </c>
      <c r="W161" s="20" t="str">
        <f>IF(J161 &lt;&gt; "", VLOOKUP(J161, District!$A$1:$B$25, 2, FALSE), "")</f>
        <v/>
      </c>
      <c r="X161" s="21" t="str">
        <f>IF(K161 &lt;&gt; "", VLOOKUP(K161, IF(J161="Quận 1", Ward!$A$2:$B$11, IF(J161="Quận 2", Ward!$C$2:$D$12, IF(J161="Quận 3", Ward!$E$2:$F$15, IF(J161="Quận 4", Ward!$G$2:$H$16, IF(J161="Quận 5", Ward!$I$2:$J$16, IF(J161="Quận 6", Ward!$K$2:$L$15, IF(J161="Quận 7", Ward!$M$2:$N$11, IF(J161="Quận 8", Ward!$O$2:$P$17, IF(J161="Quận 9", Ward!$Q$2:$R$14, IF(J161="Quận 10", Ward!$S$2:$T$16, IF(J161="Quận 11", Ward!$U$2:$V$17, IF(J161="Quận 12", Ward!$W$2:$X$12, IF(J161="Huyện Bình Chánh", Ward!$Y$2:$Z$17, IF(J161="Quận Bình Tân", Ward!$AA$2:$AB$11, IF(J161="Quận Bình Thạnh", Ward!$AC$2:$AD$21, IF(J161="Huyện Cần Giờ", Ward!$AE$2:$AF$8, IF(J161="Huyện Củ Chi", Ward!$AG$2:$AH$22, IF(J161="Quận Gò Vấp", Ward!$AI$2:$AJ$17, IF(J161="Huyện Hóc Môn", Ward!$AK$2:$AL$13, IF(J161="Huyện Nhà Bè", Ward!$AM$2:$AN$8, IF(J161="Quận Phú Nhuận", Ward!$AO$2:$AP$16, IF(J161="Quận Tân Bình", Ward!$AQ$2:$AR$16, IF(J161="Quận Tân Phú", Ward!$AS$2:$AT$12, IF(J161="Quận Thủ Đức", Ward!$AU$2:$AV$13)))))))))))))))))))))))), 2, FALSE), "")</f>
        <v/>
      </c>
      <c r="Y161" s="20" t="str">
        <f>IF(B161 &lt;&gt; "", VLOOKUP(B161, HospitalType!$A$2:$B$9, 2, FALSE), "")</f>
        <v/>
      </c>
    </row>
    <row r="162" spans="1:25" x14ac:dyDescent="0.25">
      <c r="A162" s="34"/>
      <c r="B162" s="24"/>
      <c r="C162" s="24"/>
      <c r="D162" s="24"/>
      <c r="E162" s="24"/>
      <c r="F162" s="24"/>
      <c r="G162" s="25"/>
      <c r="H162" s="25"/>
      <c r="I162" s="25"/>
      <c r="J162" s="25"/>
      <c r="K162" s="25"/>
      <c r="L162" s="25"/>
      <c r="M162" s="25"/>
      <c r="N162" s="25"/>
      <c r="O162" s="25"/>
      <c r="P162" s="25"/>
      <c r="Q162" s="24"/>
      <c r="R162" s="26"/>
      <c r="S162" s="26"/>
      <c r="T162" s="26"/>
      <c r="U162" s="27"/>
      <c r="V162" s="20" t="str">
        <f>IF(I162 &lt;&gt; "", VLOOKUP(I162, City!$A$1:$B$2, 2, FALSE), "" )</f>
        <v/>
      </c>
      <c r="W162" s="20" t="str">
        <f>IF(J162 &lt;&gt; "", VLOOKUP(J162, District!$A$1:$B$25, 2, FALSE), "")</f>
        <v/>
      </c>
      <c r="X162" s="21" t="str">
        <f>IF(K162 &lt;&gt; "", VLOOKUP(K162, IF(J162="Quận 1", Ward!$A$2:$B$11, IF(J162="Quận 2", Ward!$C$2:$D$12, IF(J162="Quận 3", Ward!$E$2:$F$15, IF(J162="Quận 4", Ward!$G$2:$H$16, IF(J162="Quận 5", Ward!$I$2:$J$16, IF(J162="Quận 6", Ward!$K$2:$L$15, IF(J162="Quận 7", Ward!$M$2:$N$11, IF(J162="Quận 8", Ward!$O$2:$P$17, IF(J162="Quận 9", Ward!$Q$2:$R$14, IF(J162="Quận 10", Ward!$S$2:$T$16, IF(J162="Quận 11", Ward!$U$2:$V$17, IF(J162="Quận 12", Ward!$W$2:$X$12, IF(J162="Huyện Bình Chánh", Ward!$Y$2:$Z$17, IF(J162="Quận Bình Tân", Ward!$AA$2:$AB$11, IF(J162="Quận Bình Thạnh", Ward!$AC$2:$AD$21, IF(J162="Huyện Cần Giờ", Ward!$AE$2:$AF$8, IF(J162="Huyện Củ Chi", Ward!$AG$2:$AH$22, IF(J162="Quận Gò Vấp", Ward!$AI$2:$AJ$17, IF(J162="Huyện Hóc Môn", Ward!$AK$2:$AL$13, IF(J162="Huyện Nhà Bè", Ward!$AM$2:$AN$8, IF(J162="Quận Phú Nhuận", Ward!$AO$2:$AP$16, IF(J162="Quận Tân Bình", Ward!$AQ$2:$AR$16, IF(J162="Quận Tân Phú", Ward!$AS$2:$AT$12, IF(J162="Quận Thủ Đức", Ward!$AU$2:$AV$13)))))))))))))))))))))))), 2, FALSE), "")</f>
        <v/>
      </c>
      <c r="Y162" s="20" t="str">
        <f>IF(B162 &lt;&gt; "", VLOOKUP(B162, HospitalType!$A$2:$B$9, 2, FALSE), "")</f>
        <v/>
      </c>
    </row>
    <row r="163" spans="1:25" x14ac:dyDescent="0.25">
      <c r="A163" s="34"/>
      <c r="B163" s="24"/>
      <c r="C163" s="24"/>
      <c r="D163" s="24"/>
      <c r="E163" s="24"/>
      <c r="F163" s="24"/>
      <c r="G163" s="25"/>
      <c r="H163" s="25"/>
      <c r="I163" s="25"/>
      <c r="J163" s="25"/>
      <c r="K163" s="25"/>
      <c r="L163" s="25"/>
      <c r="M163" s="25"/>
      <c r="N163" s="25"/>
      <c r="O163" s="25"/>
      <c r="P163" s="25"/>
      <c r="Q163" s="24"/>
      <c r="R163" s="26"/>
      <c r="S163" s="26"/>
      <c r="T163" s="26"/>
      <c r="U163" s="27"/>
      <c r="V163" s="20" t="str">
        <f>IF(I163 &lt;&gt; "", VLOOKUP(I163, City!$A$1:$B$2, 2, FALSE), "" )</f>
        <v/>
      </c>
      <c r="W163" s="20" t="str">
        <f>IF(J163 &lt;&gt; "", VLOOKUP(J163, District!$A$1:$B$25, 2, FALSE), "")</f>
        <v/>
      </c>
      <c r="X163" s="21" t="str">
        <f>IF(K163 &lt;&gt; "", VLOOKUP(K163, IF(J163="Quận 1", Ward!$A$2:$B$11, IF(J163="Quận 2", Ward!$C$2:$D$12, IF(J163="Quận 3", Ward!$E$2:$F$15, IF(J163="Quận 4", Ward!$G$2:$H$16, IF(J163="Quận 5", Ward!$I$2:$J$16, IF(J163="Quận 6", Ward!$K$2:$L$15, IF(J163="Quận 7", Ward!$M$2:$N$11, IF(J163="Quận 8", Ward!$O$2:$P$17, IF(J163="Quận 9", Ward!$Q$2:$R$14, IF(J163="Quận 10", Ward!$S$2:$T$16, IF(J163="Quận 11", Ward!$U$2:$V$17, IF(J163="Quận 12", Ward!$W$2:$X$12, IF(J163="Huyện Bình Chánh", Ward!$Y$2:$Z$17, IF(J163="Quận Bình Tân", Ward!$AA$2:$AB$11, IF(J163="Quận Bình Thạnh", Ward!$AC$2:$AD$21, IF(J163="Huyện Cần Giờ", Ward!$AE$2:$AF$8, IF(J163="Huyện Củ Chi", Ward!$AG$2:$AH$22, IF(J163="Quận Gò Vấp", Ward!$AI$2:$AJ$17, IF(J163="Huyện Hóc Môn", Ward!$AK$2:$AL$13, IF(J163="Huyện Nhà Bè", Ward!$AM$2:$AN$8, IF(J163="Quận Phú Nhuận", Ward!$AO$2:$AP$16, IF(J163="Quận Tân Bình", Ward!$AQ$2:$AR$16, IF(J163="Quận Tân Phú", Ward!$AS$2:$AT$12, IF(J163="Quận Thủ Đức", Ward!$AU$2:$AV$13)))))))))))))))))))))))), 2, FALSE), "")</f>
        <v/>
      </c>
      <c r="Y163" s="20" t="str">
        <f>IF(B163 &lt;&gt; "", VLOOKUP(B163, HospitalType!$A$2:$B$9, 2, FALSE), "")</f>
        <v/>
      </c>
    </row>
    <row r="164" spans="1:25" x14ac:dyDescent="0.25">
      <c r="A164" s="34"/>
      <c r="B164" s="24"/>
      <c r="C164" s="24"/>
      <c r="D164" s="24"/>
      <c r="E164" s="24"/>
      <c r="F164" s="24"/>
      <c r="G164" s="25"/>
      <c r="H164" s="25"/>
      <c r="I164" s="25"/>
      <c r="J164" s="25"/>
      <c r="K164" s="25"/>
      <c r="L164" s="25"/>
      <c r="M164" s="25"/>
      <c r="N164" s="25"/>
      <c r="O164" s="25"/>
      <c r="P164" s="25"/>
      <c r="Q164" s="24"/>
      <c r="R164" s="26"/>
      <c r="S164" s="26"/>
      <c r="T164" s="26"/>
      <c r="U164" s="27"/>
      <c r="V164" s="20" t="str">
        <f>IF(I164 &lt;&gt; "", VLOOKUP(I164, City!$A$1:$B$2, 2, FALSE), "" )</f>
        <v/>
      </c>
      <c r="W164" s="20" t="str">
        <f>IF(J164 &lt;&gt; "", VLOOKUP(J164, District!$A$1:$B$25, 2, FALSE), "")</f>
        <v/>
      </c>
      <c r="X164" s="21" t="str">
        <f>IF(K164 &lt;&gt; "", VLOOKUP(K164, IF(J164="Quận 1", Ward!$A$2:$B$11, IF(J164="Quận 2", Ward!$C$2:$D$12, IF(J164="Quận 3", Ward!$E$2:$F$15, IF(J164="Quận 4", Ward!$G$2:$H$16, IF(J164="Quận 5", Ward!$I$2:$J$16, IF(J164="Quận 6", Ward!$K$2:$L$15, IF(J164="Quận 7", Ward!$M$2:$N$11, IF(J164="Quận 8", Ward!$O$2:$P$17, IF(J164="Quận 9", Ward!$Q$2:$R$14, IF(J164="Quận 10", Ward!$S$2:$T$16, IF(J164="Quận 11", Ward!$U$2:$V$17, IF(J164="Quận 12", Ward!$W$2:$X$12, IF(J164="Huyện Bình Chánh", Ward!$Y$2:$Z$17, IF(J164="Quận Bình Tân", Ward!$AA$2:$AB$11, IF(J164="Quận Bình Thạnh", Ward!$AC$2:$AD$21, IF(J164="Huyện Cần Giờ", Ward!$AE$2:$AF$8, IF(J164="Huyện Củ Chi", Ward!$AG$2:$AH$22, IF(J164="Quận Gò Vấp", Ward!$AI$2:$AJ$17, IF(J164="Huyện Hóc Môn", Ward!$AK$2:$AL$13, IF(J164="Huyện Nhà Bè", Ward!$AM$2:$AN$8, IF(J164="Quận Phú Nhuận", Ward!$AO$2:$AP$16, IF(J164="Quận Tân Bình", Ward!$AQ$2:$AR$16, IF(J164="Quận Tân Phú", Ward!$AS$2:$AT$12, IF(J164="Quận Thủ Đức", Ward!$AU$2:$AV$13)))))))))))))))))))))))), 2, FALSE), "")</f>
        <v/>
      </c>
      <c r="Y164" s="20" t="str">
        <f>IF(B164 &lt;&gt; "", VLOOKUP(B164, HospitalType!$A$2:$B$9, 2, FALSE), "")</f>
        <v/>
      </c>
    </row>
    <row r="165" spans="1:25" x14ac:dyDescent="0.25">
      <c r="A165" s="34"/>
      <c r="B165" s="24"/>
      <c r="C165" s="24"/>
      <c r="D165" s="24"/>
      <c r="E165" s="24"/>
      <c r="F165" s="24"/>
      <c r="G165" s="25"/>
      <c r="H165" s="25"/>
      <c r="I165" s="25"/>
      <c r="J165" s="25"/>
      <c r="K165" s="25"/>
      <c r="L165" s="25"/>
      <c r="M165" s="25"/>
      <c r="N165" s="25"/>
      <c r="O165" s="25"/>
      <c r="P165" s="25"/>
      <c r="Q165" s="24"/>
      <c r="R165" s="26"/>
      <c r="S165" s="26"/>
      <c r="T165" s="26"/>
      <c r="U165" s="27"/>
      <c r="V165" s="20" t="str">
        <f>IF(I165 &lt;&gt; "", VLOOKUP(I165, City!$A$1:$B$2, 2, FALSE), "" )</f>
        <v/>
      </c>
      <c r="W165" s="20" t="str">
        <f>IF(J165 &lt;&gt; "", VLOOKUP(J165, District!$A$1:$B$25, 2, FALSE), "")</f>
        <v/>
      </c>
      <c r="X165" s="21" t="str">
        <f>IF(K165 &lt;&gt; "", VLOOKUP(K165, IF(J165="Quận 1", Ward!$A$2:$B$11, IF(J165="Quận 2", Ward!$C$2:$D$12, IF(J165="Quận 3", Ward!$E$2:$F$15, IF(J165="Quận 4", Ward!$G$2:$H$16, IF(J165="Quận 5", Ward!$I$2:$J$16, IF(J165="Quận 6", Ward!$K$2:$L$15, IF(J165="Quận 7", Ward!$M$2:$N$11, IF(J165="Quận 8", Ward!$O$2:$P$17, IF(J165="Quận 9", Ward!$Q$2:$R$14, IF(J165="Quận 10", Ward!$S$2:$T$16, IF(J165="Quận 11", Ward!$U$2:$V$17, IF(J165="Quận 12", Ward!$W$2:$X$12, IF(J165="Huyện Bình Chánh", Ward!$Y$2:$Z$17, IF(J165="Quận Bình Tân", Ward!$AA$2:$AB$11, IF(J165="Quận Bình Thạnh", Ward!$AC$2:$AD$21, IF(J165="Huyện Cần Giờ", Ward!$AE$2:$AF$8, IF(J165="Huyện Củ Chi", Ward!$AG$2:$AH$22, IF(J165="Quận Gò Vấp", Ward!$AI$2:$AJ$17, IF(J165="Huyện Hóc Môn", Ward!$AK$2:$AL$13, IF(J165="Huyện Nhà Bè", Ward!$AM$2:$AN$8, IF(J165="Quận Phú Nhuận", Ward!$AO$2:$AP$16, IF(J165="Quận Tân Bình", Ward!$AQ$2:$AR$16, IF(J165="Quận Tân Phú", Ward!$AS$2:$AT$12, IF(J165="Quận Thủ Đức", Ward!$AU$2:$AV$13)))))))))))))))))))))))), 2, FALSE), "")</f>
        <v/>
      </c>
      <c r="Y165" s="20" t="str">
        <f>IF(B165 &lt;&gt; "", VLOOKUP(B165, HospitalType!$A$2:$B$9, 2, FALSE), "")</f>
        <v/>
      </c>
    </row>
    <row r="166" spans="1:25" x14ac:dyDescent="0.25">
      <c r="A166" s="34"/>
      <c r="B166" s="24"/>
      <c r="C166" s="24"/>
      <c r="D166" s="24"/>
      <c r="E166" s="24"/>
      <c r="F166" s="24"/>
      <c r="G166" s="25"/>
      <c r="H166" s="25"/>
      <c r="I166" s="25"/>
      <c r="J166" s="25"/>
      <c r="K166" s="25"/>
      <c r="L166" s="25"/>
      <c r="M166" s="25"/>
      <c r="N166" s="25"/>
      <c r="O166" s="25"/>
      <c r="P166" s="25"/>
      <c r="Q166" s="24"/>
      <c r="R166" s="26"/>
      <c r="S166" s="26"/>
      <c r="T166" s="26"/>
      <c r="U166" s="27"/>
      <c r="V166" s="20" t="str">
        <f>IF(I166 &lt;&gt; "", VLOOKUP(I166, City!$A$1:$B$2, 2, FALSE), "" )</f>
        <v/>
      </c>
      <c r="W166" s="20" t="str">
        <f>IF(J166 &lt;&gt; "", VLOOKUP(J166, District!$A$1:$B$25, 2, FALSE), "")</f>
        <v/>
      </c>
      <c r="X166" s="21" t="str">
        <f>IF(K166 &lt;&gt; "", VLOOKUP(K166, IF(J166="Quận 1", Ward!$A$2:$B$11, IF(J166="Quận 2", Ward!$C$2:$D$12, IF(J166="Quận 3", Ward!$E$2:$F$15, IF(J166="Quận 4", Ward!$G$2:$H$16, IF(J166="Quận 5", Ward!$I$2:$J$16, IF(J166="Quận 6", Ward!$K$2:$L$15, IF(J166="Quận 7", Ward!$M$2:$N$11, IF(J166="Quận 8", Ward!$O$2:$P$17, IF(J166="Quận 9", Ward!$Q$2:$R$14, IF(J166="Quận 10", Ward!$S$2:$T$16, IF(J166="Quận 11", Ward!$U$2:$V$17, IF(J166="Quận 12", Ward!$W$2:$X$12, IF(J166="Huyện Bình Chánh", Ward!$Y$2:$Z$17, IF(J166="Quận Bình Tân", Ward!$AA$2:$AB$11, IF(J166="Quận Bình Thạnh", Ward!$AC$2:$AD$21, IF(J166="Huyện Cần Giờ", Ward!$AE$2:$AF$8, IF(J166="Huyện Củ Chi", Ward!$AG$2:$AH$22, IF(J166="Quận Gò Vấp", Ward!$AI$2:$AJ$17, IF(J166="Huyện Hóc Môn", Ward!$AK$2:$AL$13, IF(J166="Huyện Nhà Bè", Ward!$AM$2:$AN$8, IF(J166="Quận Phú Nhuận", Ward!$AO$2:$AP$16, IF(J166="Quận Tân Bình", Ward!$AQ$2:$AR$16, IF(J166="Quận Tân Phú", Ward!$AS$2:$AT$12, IF(J166="Quận Thủ Đức", Ward!$AU$2:$AV$13)))))))))))))))))))))))), 2, FALSE), "")</f>
        <v/>
      </c>
      <c r="Y166" s="20" t="str">
        <f>IF(B166 &lt;&gt; "", VLOOKUP(B166, HospitalType!$A$2:$B$9, 2, FALSE), "")</f>
        <v/>
      </c>
    </row>
    <row r="167" spans="1:25" x14ac:dyDescent="0.25">
      <c r="A167" s="34"/>
      <c r="B167" s="24"/>
      <c r="C167" s="24"/>
      <c r="D167" s="24"/>
      <c r="E167" s="24"/>
      <c r="F167" s="24"/>
      <c r="G167" s="25"/>
      <c r="H167" s="25"/>
      <c r="I167" s="25"/>
      <c r="J167" s="25"/>
      <c r="K167" s="25"/>
      <c r="L167" s="25"/>
      <c r="M167" s="25"/>
      <c r="N167" s="25"/>
      <c r="O167" s="25"/>
      <c r="P167" s="25"/>
      <c r="Q167" s="24"/>
      <c r="R167" s="26"/>
      <c r="S167" s="26"/>
      <c r="T167" s="26"/>
      <c r="U167" s="27"/>
      <c r="V167" s="20" t="str">
        <f>IF(I167 &lt;&gt; "", VLOOKUP(I167, City!$A$1:$B$2, 2, FALSE), "" )</f>
        <v/>
      </c>
      <c r="W167" s="20" t="str">
        <f>IF(J167 &lt;&gt; "", VLOOKUP(J167, District!$A$1:$B$25, 2, FALSE), "")</f>
        <v/>
      </c>
      <c r="X167" s="21" t="str">
        <f>IF(K167 &lt;&gt; "", VLOOKUP(K167, IF(J167="Quận 1", Ward!$A$2:$B$11, IF(J167="Quận 2", Ward!$C$2:$D$12, IF(J167="Quận 3", Ward!$E$2:$F$15, IF(J167="Quận 4", Ward!$G$2:$H$16, IF(J167="Quận 5", Ward!$I$2:$J$16, IF(J167="Quận 6", Ward!$K$2:$L$15, IF(J167="Quận 7", Ward!$M$2:$N$11, IF(J167="Quận 8", Ward!$O$2:$P$17, IF(J167="Quận 9", Ward!$Q$2:$R$14, IF(J167="Quận 10", Ward!$S$2:$T$16, IF(J167="Quận 11", Ward!$U$2:$V$17, IF(J167="Quận 12", Ward!$W$2:$X$12, IF(J167="Huyện Bình Chánh", Ward!$Y$2:$Z$17, IF(J167="Quận Bình Tân", Ward!$AA$2:$AB$11, IF(J167="Quận Bình Thạnh", Ward!$AC$2:$AD$21, IF(J167="Huyện Cần Giờ", Ward!$AE$2:$AF$8, IF(J167="Huyện Củ Chi", Ward!$AG$2:$AH$22, IF(J167="Quận Gò Vấp", Ward!$AI$2:$AJ$17, IF(J167="Huyện Hóc Môn", Ward!$AK$2:$AL$13, IF(J167="Huyện Nhà Bè", Ward!$AM$2:$AN$8, IF(J167="Quận Phú Nhuận", Ward!$AO$2:$AP$16, IF(J167="Quận Tân Bình", Ward!$AQ$2:$AR$16, IF(J167="Quận Tân Phú", Ward!$AS$2:$AT$12, IF(J167="Quận Thủ Đức", Ward!$AU$2:$AV$13)))))))))))))))))))))))), 2, FALSE), "")</f>
        <v/>
      </c>
      <c r="Y167" s="20" t="str">
        <f>IF(B167 &lt;&gt; "", VLOOKUP(B167, HospitalType!$A$2:$B$9, 2, FALSE), "")</f>
        <v/>
      </c>
    </row>
    <row r="168" spans="1:25" x14ac:dyDescent="0.25">
      <c r="A168" s="34"/>
      <c r="B168" s="24"/>
      <c r="C168" s="24"/>
      <c r="D168" s="24"/>
      <c r="E168" s="24"/>
      <c r="F168" s="24"/>
      <c r="G168" s="25"/>
      <c r="H168" s="25"/>
      <c r="I168" s="25"/>
      <c r="J168" s="25"/>
      <c r="K168" s="25"/>
      <c r="L168" s="25"/>
      <c r="M168" s="25"/>
      <c r="N168" s="25"/>
      <c r="O168" s="25"/>
      <c r="P168" s="25"/>
      <c r="Q168" s="24"/>
      <c r="R168" s="26"/>
      <c r="S168" s="26"/>
      <c r="T168" s="26"/>
      <c r="U168" s="27"/>
      <c r="V168" s="20" t="str">
        <f>IF(I168 &lt;&gt; "", VLOOKUP(I168, City!$A$1:$B$2, 2, FALSE), "" )</f>
        <v/>
      </c>
      <c r="W168" s="20" t="str">
        <f>IF(J168 &lt;&gt; "", VLOOKUP(J168, District!$A$1:$B$25, 2, FALSE), "")</f>
        <v/>
      </c>
      <c r="X168" s="21" t="str">
        <f>IF(K168 &lt;&gt; "", VLOOKUP(K168, IF(J168="Quận 1", Ward!$A$2:$B$11, IF(J168="Quận 2", Ward!$C$2:$D$12, IF(J168="Quận 3", Ward!$E$2:$F$15, IF(J168="Quận 4", Ward!$G$2:$H$16, IF(J168="Quận 5", Ward!$I$2:$J$16, IF(J168="Quận 6", Ward!$K$2:$L$15, IF(J168="Quận 7", Ward!$M$2:$N$11, IF(J168="Quận 8", Ward!$O$2:$P$17, IF(J168="Quận 9", Ward!$Q$2:$R$14, IF(J168="Quận 10", Ward!$S$2:$T$16, IF(J168="Quận 11", Ward!$U$2:$V$17, IF(J168="Quận 12", Ward!$W$2:$X$12, IF(J168="Huyện Bình Chánh", Ward!$Y$2:$Z$17, IF(J168="Quận Bình Tân", Ward!$AA$2:$AB$11, IF(J168="Quận Bình Thạnh", Ward!$AC$2:$AD$21, IF(J168="Huyện Cần Giờ", Ward!$AE$2:$AF$8, IF(J168="Huyện Củ Chi", Ward!$AG$2:$AH$22, IF(J168="Quận Gò Vấp", Ward!$AI$2:$AJ$17, IF(J168="Huyện Hóc Môn", Ward!$AK$2:$AL$13, IF(J168="Huyện Nhà Bè", Ward!$AM$2:$AN$8, IF(J168="Quận Phú Nhuận", Ward!$AO$2:$AP$16, IF(J168="Quận Tân Bình", Ward!$AQ$2:$AR$16, IF(J168="Quận Tân Phú", Ward!$AS$2:$AT$12, IF(J168="Quận Thủ Đức", Ward!$AU$2:$AV$13)))))))))))))))))))))))), 2, FALSE), "")</f>
        <v/>
      </c>
      <c r="Y168" s="20" t="str">
        <f>IF(B168 &lt;&gt; "", VLOOKUP(B168, HospitalType!$A$2:$B$9, 2, FALSE), "")</f>
        <v/>
      </c>
    </row>
    <row r="169" spans="1:25" x14ac:dyDescent="0.25">
      <c r="A169" s="34"/>
      <c r="B169" s="24"/>
      <c r="C169" s="24"/>
      <c r="D169" s="24"/>
      <c r="E169" s="24"/>
      <c r="F169" s="24"/>
      <c r="G169" s="25"/>
      <c r="H169" s="25"/>
      <c r="I169" s="25"/>
      <c r="J169" s="25"/>
      <c r="K169" s="25"/>
      <c r="L169" s="25"/>
      <c r="M169" s="25"/>
      <c r="N169" s="25"/>
      <c r="O169" s="25"/>
      <c r="P169" s="25"/>
      <c r="Q169" s="24"/>
      <c r="R169" s="26"/>
      <c r="S169" s="26"/>
      <c r="T169" s="26"/>
      <c r="U169" s="27"/>
      <c r="V169" s="20" t="str">
        <f>IF(I169 &lt;&gt; "", VLOOKUP(I169, City!$A$1:$B$2, 2, FALSE), "" )</f>
        <v/>
      </c>
      <c r="W169" s="20" t="str">
        <f>IF(J169 &lt;&gt; "", VLOOKUP(J169, District!$A$1:$B$25, 2, FALSE), "")</f>
        <v/>
      </c>
      <c r="X169" s="21" t="str">
        <f>IF(K169 &lt;&gt; "", VLOOKUP(K169, IF(J169="Quận 1", Ward!$A$2:$B$11, IF(J169="Quận 2", Ward!$C$2:$D$12, IF(J169="Quận 3", Ward!$E$2:$F$15, IF(J169="Quận 4", Ward!$G$2:$H$16, IF(J169="Quận 5", Ward!$I$2:$J$16, IF(J169="Quận 6", Ward!$K$2:$L$15, IF(J169="Quận 7", Ward!$M$2:$N$11, IF(J169="Quận 8", Ward!$O$2:$P$17, IF(J169="Quận 9", Ward!$Q$2:$R$14, IF(J169="Quận 10", Ward!$S$2:$T$16, IF(J169="Quận 11", Ward!$U$2:$V$17, IF(J169="Quận 12", Ward!$W$2:$X$12, IF(J169="Huyện Bình Chánh", Ward!$Y$2:$Z$17, IF(J169="Quận Bình Tân", Ward!$AA$2:$AB$11, IF(J169="Quận Bình Thạnh", Ward!$AC$2:$AD$21, IF(J169="Huyện Cần Giờ", Ward!$AE$2:$AF$8, IF(J169="Huyện Củ Chi", Ward!$AG$2:$AH$22, IF(J169="Quận Gò Vấp", Ward!$AI$2:$AJ$17, IF(J169="Huyện Hóc Môn", Ward!$AK$2:$AL$13, IF(J169="Huyện Nhà Bè", Ward!$AM$2:$AN$8, IF(J169="Quận Phú Nhuận", Ward!$AO$2:$AP$16, IF(J169="Quận Tân Bình", Ward!$AQ$2:$AR$16, IF(J169="Quận Tân Phú", Ward!$AS$2:$AT$12, IF(J169="Quận Thủ Đức", Ward!$AU$2:$AV$13)))))))))))))))))))))))), 2, FALSE), "")</f>
        <v/>
      </c>
      <c r="Y169" s="20" t="str">
        <f>IF(B169 &lt;&gt; "", VLOOKUP(B169, HospitalType!$A$2:$B$9, 2, FALSE), "")</f>
        <v/>
      </c>
    </row>
    <row r="170" spans="1:25" x14ac:dyDescent="0.25">
      <c r="A170" s="34"/>
      <c r="B170" s="24"/>
      <c r="C170" s="24"/>
      <c r="D170" s="24"/>
      <c r="E170" s="24"/>
      <c r="F170" s="24"/>
      <c r="G170" s="25"/>
      <c r="H170" s="25"/>
      <c r="I170" s="25"/>
      <c r="J170" s="25"/>
      <c r="K170" s="25"/>
      <c r="L170" s="25"/>
      <c r="M170" s="25"/>
      <c r="N170" s="25"/>
      <c r="O170" s="25"/>
      <c r="P170" s="25"/>
      <c r="Q170" s="24"/>
      <c r="R170" s="26"/>
      <c r="S170" s="26"/>
      <c r="T170" s="26"/>
      <c r="U170" s="27"/>
      <c r="V170" s="20" t="str">
        <f>IF(I170 &lt;&gt; "", VLOOKUP(I170, City!$A$1:$B$2, 2, FALSE), "" )</f>
        <v/>
      </c>
      <c r="W170" s="20" t="str">
        <f>IF(J170 &lt;&gt; "", VLOOKUP(J170, District!$A$1:$B$25, 2, FALSE), "")</f>
        <v/>
      </c>
      <c r="X170" s="21" t="str">
        <f>IF(K170 &lt;&gt; "", VLOOKUP(K170, IF(J170="Quận 1", Ward!$A$2:$B$11, IF(J170="Quận 2", Ward!$C$2:$D$12, IF(J170="Quận 3", Ward!$E$2:$F$15, IF(J170="Quận 4", Ward!$G$2:$H$16, IF(J170="Quận 5", Ward!$I$2:$J$16, IF(J170="Quận 6", Ward!$K$2:$L$15, IF(J170="Quận 7", Ward!$M$2:$N$11, IF(J170="Quận 8", Ward!$O$2:$P$17, IF(J170="Quận 9", Ward!$Q$2:$R$14, IF(J170="Quận 10", Ward!$S$2:$T$16, IF(J170="Quận 11", Ward!$U$2:$V$17, IF(J170="Quận 12", Ward!$W$2:$X$12, IF(J170="Huyện Bình Chánh", Ward!$Y$2:$Z$17, IF(J170="Quận Bình Tân", Ward!$AA$2:$AB$11, IF(J170="Quận Bình Thạnh", Ward!$AC$2:$AD$21, IF(J170="Huyện Cần Giờ", Ward!$AE$2:$AF$8, IF(J170="Huyện Củ Chi", Ward!$AG$2:$AH$22, IF(J170="Quận Gò Vấp", Ward!$AI$2:$AJ$17, IF(J170="Huyện Hóc Môn", Ward!$AK$2:$AL$13, IF(J170="Huyện Nhà Bè", Ward!$AM$2:$AN$8, IF(J170="Quận Phú Nhuận", Ward!$AO$2:$AP$16, IF(J170="Quận Tân Bình", Ward!$AQ$2:$AR$16, IF(J170="Quận Tân Phú", Ward!$AS$2:$AT$12, IF(J170="Quận Thủ Đức", Ward!$AU$2:$AV$13)))))))))))))))))))))))), 2, FALSE), "")</f>
        <v/>
      </c>
      <c r="Y170" s="20" t="str">
        <f>IF(B170 &lt;&gt; "", VLOOKUP(B170, HospitalType!$A$2:$B$9, 2, FALSE), "")</f>
        <v/>
      </c>
    </row>
    <row r="171" spans="1:25" x14ac:dyDescent="0.25">
      <c r="A171" s="34"/>
      <c r="B171" s="24"/>
      <c r="C171" s="24"/>
      <c r="D171" s="24"/>
      <c r="E171" s="24"/>
      <c r="F171" s="24"/>
      <c r="G171" s="25"/>
      <c r="H171" s="25"/>
      <c r="I171" s="25"/>
      <c r="J171" s="25"/>
      <c r="K171" s="25"/>
      <c r="L171" s="25"/>
      <c r="M171" s="25"/>
      <c r="N171" s="25"/>
      <c r="O171" s="25"/>
      <c r="P171" s="25"/>
      <c r="Q171" s="24"/>
      <c r="R171" s="26"/>
      <c r="S171" s="26"/>
      <c r="T171" s="26"/>
      <c r="U171" s="27"/>
      <c r="V171" s="20" t="str">
        <f>IF(I171 &lt;&gt; "", VLOOKUP(I171, City!$A$1:$B$2, 2, FALSE), "" )</f>
        <v/>
      </c>
      <c r="W171" s="20" t="str">
        <f>IF(J171 &lt;&gt; "", VLOOKUP(J171, District!$A$1:$B$25, 2, FALSE), "")</f>
        <v/>
      </c>
      <c r="X171" s="21" t="str">
        <f>IF(K171 &lt;&gt; "", VLOOKUP(K171, IF(J171="Quận 1", Ward!$A$2:$B$11, IF(J171="Quận 2", Ward!$C$2:$D$12, IF(J171="Quận 3", Ward!$E$2:$F$15, IF(J171="Quận 4", Ward!$G$2:$H$16, IF(J171="Quận 5", Ward!$I$2:$J$16, IF(J171="Quận 6", Ward!$K$2:$L$15, IF(J171="Quận 7", Ward!$M$2:$N$11, IF(J171="Quận 8", Ward!$O$2:$P$17, IF(J171="Quận 9", Ward!$Q$2:$R$14, IF(J171="Quận 10", Ward!$S$2:$T$16, IF(J171="Quận 11", Ward!$U$2:$V$17, IF(J171="Quận 12", Ward!$W$2:$X$12, IF(J171="Huyện Bình Chánh", Ward!$Y$2:$Z$17, IF(J171="Quận Bình Tân", Ward!$AA$2:$AB$11, IF(J171="Quận Bình Thạnh", Ward!$AC$2:$AD$21, IF(J171="Huyện Cần Giờ", Ward!$AE$2:$AF$8, IF(J171="Huyện Củ Chi", Ward!$AG$2:$AH$22, IF(J171="Quận Gò Vấp", Ward!$AI$2:$AJ$17, IF(J171="Huyện Hóc Môn", Ward!$AK$2:$AL$13, IF(J171="Huyện Nhà Bè", Ward!$AM$2:$AN$8, IF(J171="Quận Phú Nhuận", Ward!$AO$2:$AP$16, IF(J171="Quận Tân Bình", Ward!$AQ$2:$AR$16, IF(J171="Quận Tân Phú", Ward!$AS$2:$AT$12, IF(J171="Quận Thủ Đức", Ward!$AU$2:$AV$13)))))))))))))))))))))))), 2, FALSE), "")</f>
        <v/>
      </c>
      <c r="Y171" s="20" t="str">
        <f>IF(B171 &lt;&gt; "", VLOOKUP(B171, HospitalType!$A$2:$B$9, 2, FALSE), "")</f>
        <v/>
      </c>
    </row>
    <row r="172" spans="1:25" x14ac:dyDescent="0.25">
      <c r="A172" s="34"/>
      <c r="B172" s="24"/>
      <c r="C172" s="24"/>
      <c r="D172" s="24"/>
      <c r="E172" s="24"/>
      <c r="F172" s="24"/>
      <c r="G172" s="25"/>
      <c r="H172" s="25"/>
      <c r="I172" s="25"/>
      <c r="J172" s="25"/>
      <c r="K172" s="25"/>
      <c r="L172" s="25"/>
      <c r="M172" s="25"/>
      <c r="N172" s="25"/>
      <c r="O172" s="25"/>
      <c r="P172" s="25"/>
      <c r="Q172" s="24"/>
      <c r="R172" s="26"/>
      <c r="S172" s="26"/>
      <c r="T172" s="26"/>
      <c r="U172" s="27"/>
      <c r="V172" s="20" t="str">
        <f>IF(I172 &lt;&gt; "", VLOOKUP(I172, City!$A$1:$B$2, 2, FALSE), "" )</f>
        <v/>
      </c>
      <c r="W172" s="20" t="str">
        <f>IF(J172 &lt;&gt; "", VLOOKUP(J172, District!$A$1:$B$25, 2, FALSE), "")</f>
        <v/>
      </c>
      <c r="X172" s="21" t="str">
        <f>IF(K172 &lt;&gt; "", VLOOKUP(K172, IF(J172="Quận 1", Ward!$A$2:$B$11, IF(J172="Quận 2", Ward!$C$2:$D$12, IF(J172="Quận 3", Ward!$E$2:$F$15, IF(J172="Quận 4", Ward!$G$2:$H$16, IF(J172="Quận 5", Ward!$I$2:$J$16, IF(J172="Quận 6", Ward!$K$2:$L$15, IF(J172="Quận 7", Ward!$M$2:$N$11, IF(J172="Quận 8", Ward!$O$2:$P$17, IF(J172="Quận 9", Ward!$Q$2:$R$14, IF(J172="Quận 10", Ward!$S$2:$T$16, IF(J172="Quận 11", Ward!$U$2:$V$17, IF(J172="Quận 12", Ward!$W$2:$X$12, IF(J172="Huyện Bình Chánh", Ward!$Y$2:$Z$17, IF(J172="Quận Bình Tân", Ward!$AA$2:$AB$11, IF(J172="Quận Bình Thạnh", Ward!$AC$2:$AD$21, IF(J172="Huyện Cần Giờ", Ward!$AE$2:$AF$8, IF(J172="Huyện Củ Chi", Ward!$AG$2:$AH$22, IF(J172="Quận Gò Vấp", Ward!$AI$2:$AJ$17, IF(J172="Huyện Hóc Môn", Ward!$AK$2:$AL$13, IF(J172="Huyện Nhà Bè", Ward!$AM$2:$AN$8, IF(J172="Quận Phú Nhuận", Ward!$AO$2:$AP$16, IF(J172="Quận Tân Bình", Ward!$AQ$2:$AR$16, IF(J172="Quận Tân Phú", Ward!$AS$2:$AT$12, IF(J172="Quận Thủ Đức", Ward!$AU$2:$AV$13)))))))))))))))))))))))), 2, FALSE), "")</f>
        <v/>
      </c>
      <c r="Y172" s="20" t="str">
        <f>IF(B172 &lt;&gt; "", VLOOKUP(B172, HospitalType!$A$2:$B$9, 2, FALSE), "")</f>
        <v/>
      </c>
    </row>
    <row r="173" spans="1:25" x14ac:dyDescent="0.25">
      <c r="A173" s="34"/>
      <c r="B173" s="24"/>
      <c r="C173" s="24"/>
      <c r="D173" s="24"/>
      <c r="E173" s="24"/>
      <c r="F173" s="24"/>
      <c r="G173" s="25"/>
      <c r="H173" s="25"/>
      <c r="I173" s="25"/>
      <c r="J173" s="25"/>
      <c r="K173" s="25"/>
      <c r="L173" s="25"/>
      <c r="M173" s="25"/>
      <c r="N173" s="25"/>
      <c r="O173" s="25"/>
      <c r="P173" s="25"/>
      <c r="Q173" s="24"/>
      <c r="R173" s="26"/>
      <c r="S173" s="26"/>
      <c r="T173" s="26"/>
      <c r="U173" s="27"/>
      <c r="V173" s="20" t="str">
        <f>IF(I173 &lt;&gt; "", VLOOKUP(I173, City!$A$1:$B$2, 2, FALSE), "" )</f>
        <v/>
      </c>
      <c r="W173" s="20" t="str">
        <f>IF(J173 &lt;&gt; "", VLOOKUP(J173, District!$A$1:$B$25, 2, FALSE), "")</f>
        <v/>
      </c>
      <c r="X173" s="21" t="str">
        <f>IF(K173 &lt;&gt; "", VLOOKUP(K173, IF(J173="Quận 1", Ward!$A$2:$B$11, IF(J173="Quận 2", Ward!$C$2:$D$12, IF(J173="Quận 3", Ward!$E$2:$F$15, IF(J173="Quận 4", Ward!$G$2:$H$16, IF(J173="Quận 5", Ward!$I$2:$J$16, IF(J173="Quận 6", Ward!$K$2:$L$15, IF(J173="Quận 7", Ward!$M$2:$N$11, IF(J173="Quận 8", Ward!$O$2:$P$17, IF(J173="Quận 9", Ward!$Q$2:$R$14, IF(J173="Quận 10", Ward!$S$2:$T$16, IF(J173="Quận 11", Ward!$U$2:$V$17, IF(J173="Quận 12", Ward!$W$2:$X$12, IF(J173="Huyện Bình Chánh", Ward!$Y$2:$Z$17, IF(J173="Quận Bình Tân", Ward!$AA$2:$AB$11, IF(J173="Quận Bình Thạnh", Ward!$AC$2:$AD$21, IF(J173="Huyện Cần Giờ", Ward!$AE$2:$AF$8, IF(J173="Huyện Củ Chi", Ward!$AG$2:$AH$22, IF(J173="Quận Gò Vấp", Ward!$AI$2:$AJ$17, IF(J173="Huyện Hóc Môn", Ward!$AK$2:$AL$13, IF(J173="Huyện Nhà Bè", Ward!$AM$2:$AN$8, IF(J173="Quận Phú Nhuận", Ward!$AO$2:$AP$16, IF(J173="Quận Tân Bình", Ward!$AQ$2:$AR$16, IF(J173="Quận Tân Phú", Ward!$AS$2:$AT$12, IF(J173="Quận Thủ Đức", Ward!$AU$2:$AV$13)))))))))))))))))))))))), 2, FALSE), "")</f>
        <v/>
      </c>
      <c r="Y173" s="20" t="str">
        <f>IF(B173 &lt;&gt; "", VLOOKUP(B173, HospitalType!$A$2:$B$9, 2, FALSE), "")</f>
        <v/>
      </c>
    </row>
    <row r="174" spans="1:25" x14ac:dyDescent="0.25">
      <c r="A174" s="34"/>
      <c r="B174" s="24"/>
      <c r="C174" s="24"/>
      <c r="D174" s="24"/>
      <c r="E174" s="24"/>
      <c r="F174" s="24"/>
      <c r="G174" s="25"/>
      <c r="H174" s="25"/>
      <c r="I174" s="25"/>
      <c r="J174" s="25"/>
      <c r="K174" s="25"/>
      <c r="L174" s="25"/>
      <c r="M174" s="25"/>
      <c r="N174" s="25"/>
      <c r="O174" s="25"/>
      <c r="P174" s="25"/>
      <c r="Q174" s="24"/>
      <c r="R174" s="26"/>
      <c r="S174" s="26"/>
      <c r="T174" s="26"/>
      <c r="U174" s="27"/>
      <c r="V174" s="20" t="str">
        <f>IF(I174 &lt;&gt; "", VLOOKUP(I174, City!$A$1:$B$2, 2, FALSE), "" )</f>
        <v/>
      </c>
      <c r="W174" s="20" t="str">
        <f>IF(J174 &lt;&gt; "", VLOOKUP(J174, District!$A$1:$B$25, 2, FALSE), "")</f>
        <v/>
      </c>
      <c r="X174" s="21" t="str">
        <f>IF(K174 &lt;&gt; "", VLOOKUP(K174, IF(J174="Quận 1", Ward!$A$2:$B$11, IF(J174="Quận 2", Ward!$C$2:$D$12, IF(J174="Quận 3", Ward!$E$2:$F$15, IF(J174="Quận 4", Ward!$G$2:$H$16, IF(J174="Quận 5", Ward!$I$2:$J$16, IF(J174="Quận 6", Ward!$K$2:$L$15, IF(J174="Quận 7", Ward!$M$2:$N$11, IF(J174="Quận 8", Ward!$O$2:$P$17, IF(J174="Quận 9", Ward!$Q$2:$R$14, IF(J174="Quận 10", Ward!$S$2:$T$16, IF(J174="Quận 11", Ward!$U$2:$V$17, IF(J174="Quận 12", Ward!$W$2:$X$12, IF(J174="Huyện Bình Chánh", Ward!$Y$2:$Z$17, IF(J174="Quận Bình Tân", Ward!$AA$2:$AB$11, IF(J174="Quận Bình Thạnh", Ward!$AC$2:$AD$21, IF(J174="Huyện Cần Giờ", Ward!$AE$2:$AF$8, IF(J174="Huyện Củ Chi", Ward!$AG$2:$AH$22, IF(J174="Quận Gò Vấp", Ward!$AI$2:$AJ$17, IF(J174="Huyện Hóc Môn", Ward!$AK$2:$AL$13, IF(J174="Huyện Nhà Bè", Ward!$AM$2:$AN$8, IF(J174="Quận Phú Nhuận", Ward!$AO$2:$AP$16, IF(J174="Quận Tân Bình", Ward!$AQ$2:$AR$16, IF(J174="Quận Tân Phú", Ward!$AS$2:$AT$12, IF(J174="Quận Thủ Đức", Ward!$AU$2:$AV$13)))))))))))))))))))))))), 2, FALSE), "")</f>
        <v/>
      </c>
      <c r="Y174" s="20" t="str">
        <f>IF(B174 &lt;&gt; "", VLOOKUP(B174, HospitalType!$A$2:$B$9, 2, FALSE), "")</f>
        <v/>
      </c>
    </row>
    <row r="175" spans="1:25" x14ac:dyDescent="0.25">
      <c r="A175" s="34"/>
      <c r="B175" s="24"/>
      <c r="C175" s="24"/>
      <c r="D175" s="24"/>
      <c r="E175" s="24"/>
      <c r="F175" s="24"/>
      <c r="G175" s="25"/>
      <c r="H175" s="25"/>
      <c r="I175" s="25"/>
      <c r="J175" s="25"/>
      <c r="K175" s="25"/>
      <c r="L175" s="25"/>
      <c r="M175" s="25"/>
      <c r="N175" s="25"/>
      <c r="O175" s="25"/>
      <c r="P175" s="25"/>
      <c r="Q175" s="24"/>
      <c r="R175" s="26"/>
      <c r="S175" s="26"/>
      <c r="T175" s="26"/>
      <c r="U175" s="27"/>
      <c r="V175" s="20" t="str">
        <f>IF(I175 &lt;&gt; "", VLOOKUP(I175, City!$A$1:$B$2, 2, FALSE), "" )</f>
        <v/>
      </c>
      <c r="W175" s="20" t="str">
        <f>IF(J175 &lt;&gt; "", VLOOKUP(J175, District!$A$1:$B$25, 2, FALSE), "")</f>
        <v/>
      </c>
      <c r="X175" s="21" t="str">
        <f>IF(K175 &lt;&gt; "", VLOOKUP(K175, IF(J175="Quận 1", Ward!$A$2:$B$11, IF(J175="Quận 2", Ward!$C$2:$D$12, IF(J175="Quận 3", Ward!$E$2:$F$15, IF(J175="Quận 4", Ward!$G$2:$H$16, IF(J175="Quận 5", Ward!$I$2:$J$16, IF(J175="Quận 6", Ward!$K$2:$L$15, IF(J175="Quận 7", Ward!$M$2:$N$11, IF(J175="Quận 8", Ward!$O$2:$P$17, IF(J175="Quận 9", Ward!$Q$2:$R$14, IF(J175="Quận 10", Ward!$S$2:$T$16, IF(J175="Quận 11", Ward!$U$2:$V$17, IF(J175="Quận 12", Ward!$W$2:$X$12, IF(J175="Huyện Bình Chánh", Ward!$Y$2:$Z$17, IF(J175="Quận Bình Tân", Ward!$AA$2:$AB$11, IF(J175="Quận Bình Thạnh", Ward!$AC$2:$AD$21, IF(J175="Huyện Cần Giờ", Ward!$AE$2:$AF$8, IF(J175="Huyện Củ Chi", Ward!$AG$2:$AH$22, IF(J175="Quận Gò Vấp", Ward!$AI$2:$AJ$17, IF(J175="Huyện Hóc Môn", Ward!$AK$2:$AL$13, IF(J175="Huyện Nhà Bè", Ward!$AM$2:$AN$8, IF(J175="Quận Phú Nhuận", Ward!$AO$2:$AP$16, IF(J175="Quận Tân Bình", Ward!$AQ$2:$AR$16, IF(J175="Quận Tân Phú", Ward!$AS$2:$AT$12, IF(J175="Quận Thủ Đức", Ward!$AU$2:$AV$13)))))))))))))))))))))))), 2, FALSE), "")</f>
        <v/>
      </c>
      <c r="Y175" s="20" t="str">
        <f>IF(B175 &lt;&gt; "", VLOOKUP(B175, HospitalType!$A$2:$B$9, 2, FALSE), "")</f>
        <v/>
      </c>
    </row>
    <row r="176" spans="1:25" x14ac:dyDescent="0.25">
      <c r="A176" s="34"/>
      <c r="B176" s="24"/>
      <c r="C176" s="24"/>
      <c r="D176" s="24"/>
      <c r="E176" s="24"/>
      <c r="F176" s="24"/>
      <c r="G176" s="25"/>
      <c r="H176" s="25"/>
      <c r="I176" s="25"/>
      <c r="J176" s="25"/>
      <c r="K176" s="25"/>
      <c r="L176" s="25"/>
      <c r="M176" s="25"/>
      <c r="N176" s="25"/>
      <c r="O176" s="25"/>
      <c r="P176" s="25"/>
      <c r="Q176" s="24"/>
      <c r="R176" s="26"/>
      <c r="S176" s="26"/>
      <c r="T176" s="26"/>
      <c r="U176" s="27"/>
      <c r="V176" s="20" t="str">
        <f>IF(I176 &lt;&gt; "", VLOOKUP(I176, City!$A$1:$B$2, 2, FALSE), "" )</f>
        <v/>
      </c>
      <c r="W176" s="20" t="str">
        <f>IF(J176 &lt;&gt; "", VLOOKUP(J176, District!$A$1:$B$25, 2, FALSE), "")</f>
        <v/>
      </c>
      <c r="X176" s="21" t="str">
        <f>IF(K176 &lt;&gt; "", VLOOKUP(K176, IF(J176="Quận 1", Ward!$A$2:$B$11, IF(J176="Quận 2", Ward!$C$2:$D$12, IF(J176="Quận 3", Ward!$E$2:$F$15, IF(J176="Quận 4", Ward!$G$2:$H$16, IF(J176="Quận 5", Ward!$I$2:$J$16, IF(J176="Quận 6", Ward!$K$2:$L$15, IF(J176="Quận 7", Ward!$M$2:$N$11, IF(J176="Quận 8", Ward!$O$2:$P$17, IF(J176="Quận 9", Ward!$Q$2:$R$14, IF(J176="Quận 10", Ward!$S$2:$T$16, IF(J176="Quận 11", Ward!$U$2:$V$17, IF(J176="Quận 12", Ward!$W$2:$X$12, IF(J176="Huyện Bình Chánh", Ward!$Y$2:$Z$17, IF(J176="Quận Bình Tân", Ward!$AA$2:$AB$11, IF(J176="Quận Bình Thạnh", Ward!$AC$2:$AD$21, IF(J176="Huyện Cần Giờ", Ward!$AE$2:$AF$8, IF(J176="Huyện Củ Chi", Ward!$AG$2:$AH$22, IF(J176="Quận Gò Vấp", Ward!$AI$2:$AJ$17, IF(J176="Huyện Hóc Môn", Ward!$AK$2:$AL$13, IF(J176="Huyện Nhà Bè", Ward!$AM$2:$AN$8, IF(J176="Quận Phú Nhuận", Ward!$AO$2:$AP$16, IF(J176="Quận Tân Bình", Ward!$AQ$2:$AR$16, IF(J176="Quận Tân Phú", Ward!$AS$2:$AT$12, IF(J176="Quận Thủ Đức", Ward!$AU$2:$AV$13)))))))))))))))))))))))), 2, FALSE), "")</f>
        <v/>
      </c>
      <c r="Y176" s="20" t="str">
        <f>IF(B176 &lt;&gt; "", VLOOKUP(B176, HospitalType!$A$2:$B$9, 2, FALSE), "")</f>
        <v/>
      </c>
    </row>
    <row r="177" spans="1:25" x14ac:dyDescent="0.25">
      <c r="A177" s="34"/>
      <c r="B177" s="24"/>
      <c r="C177" s="24"/>
      <c r="D177" s="24"/>
      <c r="E177" s="24"/>
      <c r="F177" s="24"/>
      <c r="G177" s="25"/>
      <c r="H177" s="25"/>
      <c r="I177" s="25"/>
      <c r="J177" s="25"/>
      <c r="K177" s="25"/>
      <c r="L177" s="25"/>
      <c r="M177" s="25"/>
      <c r="N177" s="25"/>
      <c r="O177" s="25"/>
      <c r="P177" s="25"/>
      <c r="Q177" s="24"/>
      <c r="R177" s="26"/>
      <c r="S177" s="26"/>
      <c r="T177" s="26"/>
      <c r="U177" s="27"/>
      <c r="V177" s="20" t="str">
        <f>IF(I177 &lt;&gt; "", VLOOKUP(I177, City!$A$1:$B$2, 2, FALSE), "" )</f>
        <v/>
      </c>
      <c r="W177" s="20" t="str">
        <f>IF(J177 &lt;&gt; "", VLOOKUP(J177, District!$A$1:$B$25, 2, FALSE), "")</f>
        <v/>
      </c>
      <c r="X177" s="21" t="str">
        <f>IF(K177 &lt;&gt; "", VLOOKUP(K177, IF(J177="Quận 1", Ward!$A$2:$B$11, IF(J177="Quận 2", Ward!$C$2:$D$12, IF(J177="Quận 3", Ward!$E$2:$F$15, IF(J177="Quận 4", Ward!$G$2:$H$16, IF(J177="Quận 5", Ward!$I$2:$J$16, IF(J177="Quận 6", Ward!$K$2:$L$15, IF(J177="Quận 7", Ward!$M$2:$N$11, IF(J177="Quận 8", Ward!$O$2:$P$17, IF(J177="Quận 9", Ward!$Q$2:$R$14, IF(J177="Quận 10", Ward!$S$2:$T$16, IF(J177="Quận 11", Ward!$U$2:$V$17, IF(J177="Quận 12", Ward!$W$2:$X$12, IF(J177="Huyện Bình Chánh", Ward!$Y$2:$Z$17, IF(J177="Quận Bình Tân", Ward!$AA$2:$AB$11, IF(J177="Quận Bình Thạnh", Ward!$AC$2:$AD$21, IF(J177="Huyện Cần Giờ", Ward!$AE$2:$AF$8, IF(J177="Huyện Củ Chi", Ward!$AG$2:$AH$22, IF(J177="Quận Gò Vấp", Ward!$AI$2:$AJ$17, IF(J177="Huyện Hóc Môn", Ward!$AK$2:$AL$13, IF(J177="Huyện Nhà Bè", Ward!$AM$2:$AN$8, IF(J177="Quận Phú Nhuận", Ward!$AO$2:$AP$16, IF(J177="Quận Tân Bình", Ward!$AQ$2:$AR$16, IF(J177="Quận Tân Phú", Ward!$AS$2:$AT$12, IF(J177="Quận Thủ Đức", Ward!$AU$2:$AV$13)))))))))))))))))))))))), 2, FALSE), "")</f>
        <v/>
      </c>
      <c r="Y177" s="20" t="str">
        <f>IF(B177 &lt;&gt; "", VLOOKUP(B177, HospitalType!$A$2:$B$9, 2, FALSE), "")</f>
        <v/>
      </c>
    </row>
    <row r="178" spans="1:25" x14ac:dyDescent="0.25">
      <c r="A178" s="34"/>
      <c r="B178" s="24"/>
      <c r="C178" s="24"/>
      <c r="D178" s="24"/>
      <c r="E178" s="24"/>
      <c r="F178" s="24"/>
      <c r="G178" s="25"/>
      <c r="H178" s="25"/>
      <c r="I178" s="25"/>
      <c r="J178" s="25"/>
      <c r="K178" s="25"/>
      <c r="L178" s="25"/>
      <c r="M178" s="25"/>
      <c r="N178" s="25"/>
      <c r="O178" s="25"/>
      <c r="P178" s="25"/>
      <c r="Q178" s="24"/>
      <c r="R178" s="26"/>
      <c r="S178" s="26"/>
      <c r="T178" s="26"/>
      <c r="U178" s="27"/>
      <c r="V178" s="20" t="str">
        <f>IF(I178 &lt;&gt; "", VLOOKUP(I178, City!$A$1:$B$2, 2, FALSE), "" )</f>
        <v/>
      </c>
      <c r="W178" s="20" t="str">
        <f>IF(J178 &lt;&gt; "", VLOOKUP(J178, District!$A$1:$B$25, 2, FALSE), "")</f>
        <v/>
      </c>
      <c r="X178" s="21" t="str">
        <f>IF(K178 &lt;&gt; "", VLOOKUP(K178, IF(J178="Quận 1", Ward!$A$2:$B$11, IF(J178="Quận 2", Ward!$C$2:$D$12, IF(J178="Quận 3", Ward!$E$2:$F$15, IF(J178="Quận 4", Ward!$G$2:$H$16, IF(J178="Quận 5", Ward!$I$2:$J$16, IF(J178="Quận 6", Ward!$K$2:$L$15, IF(J178="Quận 7", Ward!$M$2:$N$11, IF(J178="Quận 8", Ward!$O$2:$P$17, IF(J178="Quận 9", Ward!$Q$2:$R$14, IF(J178="Quận 10", Ward!$S$2:$T$16, IF(J178="Quận 11", Ward!$U$2:$V$17, IF(J178="Quận 12", Ward!$W$2:$X$12, IF(J178="Huyện Bình Chánh", Ward!$Y$2:$Z$17, IF(J178="Quận Bình Tân", Ward!$AA$2:$AB$11, IF(J178="Quận Bình Thạnh", Ward!$AC$2:$AD$21, IF(J178="Huyện Cần Giờ", Ward!$AE$2:$AF$8, IF(J178="Huyện Củ Chi", Ward!$AG$2:$AH$22, IF(J178="Quận Gò Vấp", Ward!$AI$2:$AJ$17, IF(J178="Huyện Hóc Môn", Ward!$AK$2:$AL$13, IF(J178="Huyện Nhà Bè", Ward!$AM$2:$AN$8, IF(J178="Quận Phú Nhuận", Ward!$AO$2:$AP$16, IF(J178="Quận Tân Bình", Ward!$AQ$2:$AR$16, IF(J178="Quận Tân Phú", Ward!$AS$2:$AT$12, IF(J178="Quận Thủ Đức", Ward!$AU$2:$AV$13)))))))))))))))))))))))), 2, FALSE), "")</f>
        <v/>
      </c>
      <c r="Y178" s="20" t="str">
        <f>IF(B178 &lt;&gt; "", VLOOKUP(B178, HospitalType!$A$2:$B$9, 2, FALSE), "")</f>
        <v/>
      </c>
    </row>
    <row r="179" spans="1:25" x14ac:dyDescent="0.25">
      <c r="A179" s="34"/>
      <c r="B179" s="24"/>
      <c r="C179" s="24"/>
      <c r="D179" s="24"/>
      <c r="E179" s="24"/>
      <c r="F179" s="24"/>
      <c r="G179" s="25"/>
      <c r="H179" s="25"/>
      <c r="I179" s="25"/>
      <c r="J179" s="25"/>
      <c r="K179" s="25"/>
      <c r="L179" s="25"/>
      <c r="M179" s="25"/>
      <c r="N179" s="25"/>
      <c r="O179" s="25"/>
      <c r="P179" s="25"/>
      <c r="Q179" s="24"/>
      <c r="R179" s="26"/>
      <c r="S179" s="26"/>
      <c r="T179" s="26"/>
      <c r="U179" s="27"/>
      <c r="V179" s="20" t="str">
        <f>IF(I179 &lt;&gt; "", VLOOKUP(I179, City!$A$1:$B$2, 2, FALSE), "" )</f>
        <v/>
      </c>
      <c r="W179" s="20" t="str">
        <f>IF(J179 &lt;&gt; "", VLOOKUP(J179, District!$A$1:$B$25, 2, FALSE), "")</f>
        <v/>
      </c>
      <c r="X179" s="21" t="str">
        <f>IF(K179 &lt;&gt; "", VLOOKUP(K179, IF(J179="Quận 1", Ward!$A$2:$B$11, IF(J179="Quận 2", Ward!$C$2:$D$12, IF(J179="Quận 3", Ward!$E$2:$F$15, IF(J179="Quận 4", Ward!$G$2:$H$16, IF(J179="Quận 5", Ward!$I$2:$J$16, IF(J179="Quận 6", Ward!$K$2:$L$15, IF(J179="Quận 7", Ward!$M$2:$N$11, IF(J179="Quận 8", Ward!$O$2:$P$17, IF(J179="Quận 9", Ward!$Q$2:$R$14, IF(J179="Quận 10", Ward!$S$2:$T$16, IF(J179="Quận 11", Ward!$U$2:$V$17, IF(J179="Quận 12", Ward!$W$2:$X$12, IF(J179="Huyện Bình Chánh", Ward!$Y$2:$Z$17, IF(J179="Quận Bình Tân", Ward!$AA$2:$AB$11, IF(J179="Quận Bình Thạnh", Ward!$AC$2:$AD$21, IF(J179="Huyện Cần Giờ", Ward!$AE$2:$AF$8, IF(J179="Huyện Củ Chi", Ward!$AG$2:$AH$22, IF(J179="Quận Gò Vấp", Ward!$AI$2:$AJ$17, IF(J179="Huyện Hóc Môn", Ward!$AK$2:$AL$13, IF(J179="Huyện Nhà Bè", Ward!$AM$2:$AN$8, IF(J179="Quận Phú Nhuận", Ward!$AO$2:$AP$16, IF(J179="Quận Tân Bình", Ward!$AQ$2:$AR$16, IF(J179="Quận Tân Phú", Ward!$AS$2:$AT$12, IF(J179="Quận Thủ Đức", Ward!$AU$2:$AV$13)))))))))))))))))))))))), 2, FALSE), "")</f>
        <v/>
      </c>
      <c r="Y179" s="20" t="str">
        <f>IF(B179 &lt;&gt; "", VLOOKUP(B179, HospitalType!$A$2:$B$9, 2, FALSE), "")</f>
        <v/>
      </c>
    </row>
    <row r="180" spans="1:25" x14ac:dyDescent="0.25">
      <c r="A180" s="34"/>
      <c r="B180" s="24"/>
      <c r="C180" s="24"/>
      <c r="D180" s="24"/>
      <c r="E180" s="24"/>
      <c r="F180" s="24"/>
      <c r="G180" s="25"/>
      <c r="H180" s="25"/>
      <c r="I180" s="25"/>
      <c r="J180" s="25"/>
      <c r="K180" s="25"/>
      <c r="L180" s="25"/>
      <c r="M180" s="25"/>
      <c r="N180" s="25"/>
      <c r="O180" s="25"/>
      <c r="P180" s="25"/>
      <c r="Q180" s="24"/>
      <c r="R180" s="26"/>
      <c r="S180" s="26"/>
      <c r="T180" s="26"/>
      <c r="U180" s="27"/>
      <c r="V180" s="20" t="str">
        <f>IF(I180 &lt;&gt; "", VLOOKUP(I180, City!$A$1:$B$2, 2, FALSE), "" )</f>
        <v/>
      </c>
      <c r="W180" s="20" t="str">
        <f>IF(J180 &lt;&gt; "", VLOOKUP(J180, District!$A$1:$B$25, 2, FALSE), "")</f>
        <v/>
      </c>
      <c r="X180" s="21" t="str">
        <f>IF(K180 &lt;&gt; "", VLOOKUP(K180, IF(J180="Quận 1", Ward!$A$2:$B$11, IF(J180="Quận 2", Ward!$C$2:$D$12, IF(J180="Quận 3", Ward!$E$2:$F$15, IF(J180="Quận 4", Ward!$G$2:$H$16, IF(J180="Quận 5", Ward!$I$2:$J$16, IF(J180="Quận 6", Ward!$K$2:$L$15, IF(J180="Quận 7", Ward!$M$2:$N$11, IF(J180="Quận 8", Ward!$O$2:$P$17, IF(J180="Quận 9", Ward!$Q$2:$R$14, IF(J180="Quận 10", Ward!$S$2:$T$16, IF(J180="Quận 11", Ward!$U$2:$V$17, IF(J180="Quận 12", Ward!$W$2:$X$12, IF(J180="Huyện Bình Chánh", Ward!$Y$2:$Z$17, IF(J180="Quận Bình Tân", Ward!$AA$2:$AB$11, IF(J180="Quận Bình Thạnh", Ward!$AC$2:$AD$21, IF(J180="Huyện Cần Giờ", Ward!$AE$2:$AF$8, IF(J180="Huyện Củ Chi", Ward!$AG$2:$AH$22, IF(J180="Quận Gò Vấp", Ward!$AI$2:$AJ$17, IF(J180="Huyện Hóc Môn", Ward!$AK$2:$AL$13, IF(J180="Huyện Nhà Bè", Ward!$AM$2:$AN$8, IF(J180="Quận Phú Nhuận", Ward!$AO$2:$AP$16, IF(J180="Quận Tân Bình", Ward!$AQ$2:$AR$16, IF(J180="Quận Tân Phú", Ward!$AS$2:$AT$12, IF(J180="Quận Thủ Đức", Ward!$AU$2:$AV$13)))))))))))))))))))))))), 2, FALSE), "")</f>
        <v/>
      </c>
      <c r="Y180" s="20" t="str">
        <f>IF(B180 &lt;&gt; "", VLOOKUP(B180, HospitalType!$A$2:$B$9, 2, FALSE), "")</f>
        <v/>
      </c>
    </row>
    <row r="181" spans="1:25" x14ac:dyDescent="0.25">
      <c r="A181" s="34"/>
      <c r="B181" s="24"/>
      <c r="C181" s="24"/>
      <c r="D181" s="24"/>
      <c r="E181" s="24"/>
      <c r="F181" s="24"/>
      <c r="G181" s="25"/>
      <c r="H181" s="25"/>
      <c r="I181" s="25"/>
      <c r="J181" s="25"/>
      <c r="K181" s="25"/>
      <c r="L181" s="25"/>
      <c r="M181" s="25"/>
      <c r="N181" s="25"/>
      <c r="O181" s="25"/>
      <c r="P181" s="25"/>
      <c r="Q181" s="24"/>
      <c r="R181" s="26"/>
      <c r="S181" s="26"/>
      <c r="T181" s="26"/>
      <c r="U181" s="27"/>
      <c r="V181" s="20" t="str">
        <f>IF(I181 &lt;&gt; "", VLOOKUP(I181, City!$A$1:$B$2, 2, FALSE), "" )</f>
        <v/>
      </c>
      <c r="W181" s="20" t="str">
        <f>IF(J181 &lt;&gt; "", VLOOKUP(J181, District!$A$1:$B$25, 2, FALSE), "")</f>
        <v/>
      </c>
      <c r="X181" s="21" t="str">
        <f>IF(K181 &lt;&gt; "", VLOOKUP(K181, IF(J181="Quận 1", Ward!$A$2:$B$11, IF(J181="Quận 2", Ward!$C$2:$D$12, IF(J181="Quận 3", Ward!$E$2:$F$15, IF(J181="Quận 4", Ward!$G$2:$H$16, IF(J181="Quận 5", Ward!$I$2:$J$16, IF(J181="Quận 6", Ward!$K$2:$L$15, IF(J181="Quận 7", Ward!$M$2:$N$11, IF(J181="Quận 8", Ward!$O$2:$P$17, IF(J181="Quận 9", Ward!$Q$2:$R$14, IF(J181="Quận 10", Ward!$S$2:$T$16, IF(J181="Quận 11", Ward!$U$2:$V$17, IF(J181="Quận 12", Ward!$W$2:$X$12, IF(J181="Huyện Bình Chánh", Ward!$Y$2:$Z$17, IF(J181="Quận Bình Tân", Ward!$AA$2:$AB$11, IF(J181="Quận Bình Thạnh", Ward!$AC$2:$AD$21, IF(J181="Huyện Cần Giờ", Ward!$AE$2:$AF$8, IF(J181="Huyện Củ Chi", Ward!$AG$2:$AH$22, IF(J181="Quận Gò Vấp", Ward!$AI$2:$AJ$17, IF(J181="Huyện Hóc Môn", Ward!$AK$2:$AL$13, IF(J181="Huyện Nhà Bè", Ward!$AM$2:$AN$8, IF(J181="Quận Phú Nhuận", Ward!$AO$2:$AP$16, IF(J181="Quận Tân Bình", Ward!$AQ$2:$AR$16, IF(J181="Quận Tân Phú", Ward!$AS$2:$AT$12, IF(J181="Quận Thủ Đức", Ward!$AU$2:$AV$13)))))))))))))))))))))))), 2, FALSE), "")</f>
        <v/>
      </c>
      <c r="Y181" s="20" t="str">
        <f>IF(B181 &lt;&gt; "", VLOOKUP(B181, HospitalType!$A$2:$B$9, 2, FALSE), "")</f>
        <v/>
      </c>
    </row>
    <row r="182" spans="1:25" x14ac:dyDescent="0.25">
      <c r="A182" s="34"/>
      <c r="B182" s="24"/>
      <c r="C182" s="24"/>
      <c r="D182" s="24"/>
      <c r="E182" s="24"/>
      <c r="F182" s="24"/>
      <c r="G182" s="25"/>
      <c r="H182" s="25"/>
      <c r="I182" s="25"/>
      <c r="J182" s="25"/>
      <c r="K182" s="25"/>
      <c r="L182" s="25"/>
      <c r="M182" s="25"/>
      <c r="N182" s="25"/>
      <c r="O182" s="25"/>
      <c r="P182" s="25"/>
      <c r="Q182" s="24"/>
      <c r="R182" s="26"/>
      <c r="S182" s="26"/>
      <c r="T182" s="26"/>
      <c r="U182" s="27"/>
      <c r="V182" s="20" t="str">
        <f>IF(I182 &lt;&gt; "", VLOOKUP(I182, City!$A$1:$B$2, 2, FALSE), "" )</f>
        <v/>
      </c>
      <c r="W182" s="20" t="str">
        <f>IF(J182 &lt;&gt; "", VLOOKUP(J182, District!$A$1:$B$25, 2, FALSE), "")</f>
        <v/>
      </c>
      <c r="X182" s="21" t="str">
        <f>IF(K182 &lt;&gt; "", VLOOKUP(K182, IF(J182="Quận 1", Ward!$A$2:$B$11, IF(J182="Quận 2", Ward!$C$2:$D$12, IF(J182="Quận 3", Ward!$E$2:$F$15, IF(J182="Quận 4", Ward!$G$2:$H$16, IF(J182="Quận 5", Ward!$I$2:$J$16, IF(J182="Quận 6", Ward!$K$2:$L$15, IF(J182="Quận 7", Ward!$M$2:$N$11, IF(J182="Quận 8", Ward!$O$2:$P$17, IF(J182="Quận 9", Ward!$Q$2:$R$14, IF(J182="Quận 10", Ward!$S$2:$T$16, IF(J182="Quận 11", Ward!$U$2:$V$17, IF(J182="Quận 12", Ward!$W$2:$X$12, IF(J182="Huyện Bình Chánh", Ward!$Y$2:$Z$17, IF(J182="Quận Bình Tân", Ward!$AA$2:$AB$11, IF(J182="Quận Bình Thạnh", Ward!$AC$2:$AD$21, IF(J182="Huyện Cần Giờ", Ward!$AE$2:$AF$8, IF(J182="Huyện Củ Chi", Ward!$AG$2:$AH$22, IF(J182="Quận Gò Vấp", Ward!$AI$2:$AJ$17, IF(J182="Huyện Hóc Môn", Ward!$AK$2:$AL$13, IF(J182="Huyện Nhà Bè", Ward!$AM$2:$AN$8, IF(J182="Quận Phú Nhuận", Ward!$AO$2:$AP$16, IF(J182="Quận Tân Bình", Ward!$AQ$2:$AR$16, IF(J182="Quận Tân Phú", Ward!$AS$2:$AT$12, IF(J182="Quận Thủ Đức", Ward!$AU$2:$AV$13)))))))))))))))))))))))), 2, FALSE), "")</f>
        <v/>
      </c>
      <c r="Y182" s="20" t="str">
        <f>IF(B182 &lt;&gt; "", VLOOKUP(B182, HospitalType!$A$2:$B$9, 2, FALSE), "")</f>
        <v/>
      </c>
    </row>
    <row r="183" spans="1:25" x14ac:dyDescent="0.25">
      <c r="A183" s="34"/>
      <c r="B183" s="24"/>
      <c r="C183" s="24"/>
      <c r="D183" s="24"/>
      <c r="E183" s="24"/>
      <c r="F183" s="24"/>
      <c r="G183" s="25"/>
      <c r="H183" s="25"/>
      <c r="I183" s="25"/>
      <c r="J183" s="25"/>
      <c r="K183" s="25"/>
      <c r="L183" s="25"/>
      <c r="M183" s="25"/>
      <c r="N183" s="25"/>
      <c r="O183" s="25"/>
      <c r="P183" s="25"/>
      <c r="Q183" s="24"/>
      <c r="R183" s="26"/>
      <c r="S183" s="26"/>
      <c r="T183" s="26"/>
      <c r="U183" s="27"/>
      <c r="V183" s="20" t="str">
        <f>IF(I183 &lt;&gt; "", VLOOKUP(I183, City!$A$1:$B$2, 2, FALSE), "" )</f>
        <v/>
      </c>
      <c r="W183" s="20" t="str">
        <f>IF(J183 &lt;&gt; "", VLOOKUP(J183, District!$A$1:$B$25, 2, FALSE), "")</f>
        <v/>
      </c>
      <c r="X183" s="21" t="str">
        <f>IF(K183 &lt;&gt; "", VLOOKUP(K183, IF(J183="Quận 1", Ward!$A$2:$B$11, IF(J183="Quận 2", Ward!$C$2:$D$12, IF(J183="Quận 3", Ward!$E$2:$F$15, IF(J183="Quận 4", Ward!$G$2:$H$16, IF(J183="Quận 5", Ward!$I$2:$J$16, IF(J183="Quận 6", Ward!$K$2:$L$15, IF(J183="Quận 7", Ward!$M$2:$N$11, IF(J183="Quận 8", Ward!$O$2:$P$17, IF(J183="Quận 9", Ward!$Q$2:$R$14, IF(J183="Quận 10", Ward!$S$2:$T$16, IF(J183="Quận 11", Ward!$U$2:$V$17, IF(J183="Quận 12", Ward!$W$2:$X$12, IF(J183="Huyện Bình Chánh", Ward!$Y$2:$Z$17, IF(J183="Quận Bình Tân", Ward!$AA$2:$AB$11, IF(J183="Quận Bình Thạnh", Ward!$AC$2:$AD$21, IF(J183="Huyện Cần Giờ", Ward!$AE$2:$AF$8, IF(J183="Huyện Củ Chi", Ward!$AG$2:$AH$22, IF(J183="Quận Gò Vấp", Ward!$AI$2:$AJ$17, IF(J183="Huyện Hóc Môn", Ward!$AK$2:$AL$13, IF(J183="Huyện Nhà Bè", Ward!$AM$2:$AN$8, IF(J183="Quận Phú Nhuận", Ward!$AO$2:$AP$16, IF(J183="Quận Tân Bình", Ward!$AQ$2:$AR$16, IF(J183="Quận Tân Phú", Ward!$AS$2:$AT$12, IF(J183="Quận Thủ Đức", Ward!$AU$2:$AV$13)))))))))))))))))))))))), 2, FALSE), "")</f>
        <v/>
      </c>
      <c r="Y183" s="20" t="str">
        <f>IF(B183 &lt;&gt; "", VLOOKUP(B183, HospitalType!$A$2:$B$9, 2, FALSE), "")</f>
        <v/>
      </c>
    </row>
    <row r="184" spans="1:25" x14ac:dyDescent="0.25">
      <c r="A184" s="34"/>
      <c r="B184" s="24"/>
      <c r="C184" s="24"/>
      <c r="D184" s="24"/>
      <c r="E184" s="24"/>
      <c r="F184" s="24"/>
      <c r="G184" s="25"/>
      <c r="H184" s="25"/>
      <c r="I184" s="25"/>
      <c r="J184" s="25"/>
      <c r="K184" s="25"/>
      <c r="L184" s="25"/>
      <c r="M184" s="25"/>
      <c r="N184" s="25"/>
      <c r="O184" s="25"/>
      <c r="P184" s="25"/>
      <c r="Q184" s="24"/>
      <c r="R184" s="26"/>
      <c r="S184" s="26"/>
      <c r="T184" s="26"/>
      <c r="U184" s="27"/>
      <c r="V184" s="20" t="str">
        <f>IF(I184 &lt;&gt; "", VLOOKUP(I184, City!$A$1:$B$2, 2, FALSE), "" )</f>
        <v/>
      </c>
      <c r="W184" s="20" t="str">
        <f>IF(J184 &lt;&gt; "", VLOOKUP(J184, District!$A$1:$B$25, 2, FALSE), "")</f>
        <v/>
      </c>
      <c r="X184" s="21" t="str">
        <f>IF(K184 &lt;&gt; "", VLOOKUP(K184, IF(J184="Quận 1", Ward!$A$2:$B$11, IF(J184="Quận 2", Ward!$C$2:$D$12, IF(J184="Quận 3", Ward!$E$2:$F$15, IF(J184="Quận 4", Ward!$G$2:$H$16, IF(J184="Quận 5", Ward!$I$2:$J$16, IF(J184="Quận 6", Ward!$K$2:$L$15, IF(J184="Quận 7", Ward!$M$2:$N$11, IF(J184="Quận 8", Ward!$O$2:$P$17, IF(J184="Quận 9", Ward!$Q$2:$R$14, IF(J184="Quận 10", Ward!$S$2:$T$16, IF(J184="Quận 11", Ward!$U$2:$V$17, IF(J184="Quận 12", Ward!$W$2:$X$12, IF(J184="Huyện Bình Chánh", Ward!$Y$2:$Z$17, IF(J184="Quận Bình Tân", Ward!$AA$2:$AB$11, IF(J184="Quận Bình Thạnh", Ward!$AC$2:$AD$21, IF(J184="Huyện Cần Giờ", Ward!$AE$2:$AF$8, IF(J184="Huyện Củ Chi", Ward!$AG$2:$AH$22, IF(J184="Quận Gò Vấp", Ward!$AI$2:$AJ$17, IF(J184="Huyện Hóc Môn", Ward!$AK$2:$AL$13, IF(J184="Huyện Nhà Bè", Ward!$AM$2:$AN$8, IF(J184="Quận Phú Nhuận", Ward!$AO$2:$AP$16, IF(J184="Quận Tân Bình", Ward!$AQ$2:$AR$16, IF(J184="Quận Tân Phú", Ward!$AS$2:$AT$12, IF(J184="Quận Thủ Đức", Ward!$AU$2:$AV$13)))))))))))))))))))))))), 2, FALSE), "")</f>
        <v/>
      </c>
      <c r="Y184" s="20" t="str">
        <f>IF(B184 &lt;&gt; "", VLOOKUP(B184, HospitalType!$A$2:$B$9, 2, FALSE), "")</f>
        <v/>
      </c>
    </row>
    <row r="185" spans="1:25" x14ac:dyDescent="0.25">
      <c r="A185" s="34"/>
      <c r="B185" s="24"/>
      <c r="C185" s="24"/>
      <c r="D185" s="24"/>
      <c r="E185" s="24"/>
      <c r="F185" s="24"/>
      <c r="G185" s="25"/>
      <c r="H185" s="25"/>
      <c r="I185" s="25"/>
      <c r="J185" s="25"/>
      <c r="K185" s="25"/>
      <c r="L185" s="25"/>
      <c r="M185" s="25"/>
      <c r="N185" s="25"/>
      <c r="O185" s="25"/>
      <c r="P185" s="25"/>
      <c r="Q185" s="24"/>
      <c r="R185" s="26"/>
      <c r="S185" s="26"/>
      <c r="T185" s="26"/>
      <c r="U185" s="27"/>
      <c r="V185" s="20" t="str">
        <f>IF(I185 &lt;&gt; "", VLOOKUP(I185, City!$A$1:$B$2, 2, FALSE), "" )</f>
        <v/>
      </c>
      <c r="W185" s="20" t="str">
        <f>IF(J185 &lt;&gt; "", VLOOKUP(J185, District!$A$1:$B$25, 2, FALSE), "")</f>
        <v/>
      </c>
      <c r="X185" s="21" t="str">
        <f>IF(K185 &lt;&gt; "", VLOOKUP(K185, IF(J185="Quận 1", Ward!$A$2:$B$11, IF(J185="Quận 2", Ward!$C$2:$D$12, IF(J185="Quận 3", Ward!$E$2:$F$15, IF(J185="Quận 4", Ward!$G$2:$H$16, IF(J185="Quận 5", Ward!$I$2:$J$16, IF(J185="Quận 6", Ward!$K$2:$L$15, IF(J185="Quận 7", Ward!$M$2:$N$11, IF(J185="Quận 8", Ward!$O$2:$P$17, IF(J185="Quận 9", Ward!$Q$2:$R$14, IF(J185="Quận 10", Ward!$S$2:$T$16, IF(J185="Quận 11", Ward!$U$2:$V$17, IF(J185="Quận 12", Ward!$W$2:$X$12, IF(J185="Huyện Bình Chánh", Ward!$Y$2:$Z$17, IF(J185="Quận Bình Tân", Ward!$AA$2:$AB$11, IF(J185="Quận Bình Thạnh", Ward!$AC$2:$AD$21, IF(J185="Huyện Cần Giờ", Ward!$AE$2:$AF$8, IF(J185="Huyện Củ Chi", Ward!$AG$2:$AH$22, IF(J185="Quận Gò Vấp", Ward!$AI$2:$AJ$17, IF(J185="Huyện Hóc Môn", Ward!$AK$2:$AL$13, IF(J185="Huyện Nhà Bè", Ward!$AM$2:$AN$8, IF(J185="Quận Phú Nhuận", Ward!$AO$2:$AP$16, IF(J185="Quận Tân Bình", Ward!$AQ$2:$AR$16, IF(J185="Quận Tân Phú", Ward!$AS$2:$AT$12, IF(J185="Quận Thủ Đức", Ward!$AU$2:$AV$13)))))))))))))))))))))))), 2, FALSE), "")</f>
        <v/>
      </c>
      <c r="Y185" s="20" t="str">
        <f>IF(B185 &lt;&gt; "", VLOOKUP(B185, HospitalType!$A$2:$B$9, 2, FALSE), "")</f>
        <v/>
      </c>
    </row>
    <row r="186" spans="1:25" x14ac:dyDescent="0.25">
      <c r="A186" s="34"/>
      <c r="B186" s="24"/>
      <c r="C186" s="24"/>
      <c r="D186" s="24"/>
      <c r="E186" s="24"/>
      <c r="F186" s="24"/>
      <c r="G186" s="25"/>
      <c r="H186" s="25"/>
      <c r="I186" s="25"/>
      <c r="J186" s="25"/>
      <c r="K186" s="25"/>
      <c r="L186" s="25"/>
      <c r="M186" s="25"/>
      <c r="N186" s="25"/>
      <c r="O186" s="25"/>
      <c r="P186" s="25"/>
      <c r="Q186" s="24"/>
      <c r="R186" s="26"/>
      <c r="S186" s="26"/>
      <c r="T186" s="26"/>
      <c r="U186" s="27"/>
      <c r="V186" s="20" t="str">
        <f>IF(I186 &lt;&gt; "", VLOOKUP(I186, City!$A$1:$B$2, 2, FALSE), "" )</f>
        <v/>
      </c>
      <c r="W186" s="20" t="str">
        <f>IF(J186 &lt;&gt; "", VLOOKUP(J186, District!$A$1:$B$25, 2, FALSE), "")</f>
        <v/>
      </c>
      <c r="X186" s="21" t="str">
        <f>IF(K186 &lt;&gt; "", VLOOKUP(K186, IF(J186="Quận 1", Ward!$A$2:$B$11, IF(J186="Quận 2", Ward!$C$2:$D$12, IF(J186="Quận 3", Ward!$E$2:$F$15, IF(J186="Quận 4", Ward!$G$2:$H$16, IF(J186="Quận 5", Ward!$I$2:$J$16, IF(J186="Quận 6", Ward!$K$2:$L$15, IF(J186="Quận 7", Ward!$M$2:$N$11, IF(J186="Quận 8", Ward!$O$2:$P$17, IF(J186="Quận 9", Ward!$Q$2:$R$14, IF(J186="Quận 10", Ward!$S$2:$T$16, IF(J186="Quận 11", Ward!$U$2:$V$17, IF(J186="Quận 12", Ward!$W$2:$X$12, IF(J186="Huyện Bình Chánh", Ward!$Y$2:$Z$17, IF(J186="Quận Bình Tân", Ward!$AA$2:$AB$11, IF(J186="Quận Bình Thạnh", Ward!$AC$2:$AD$21, IF(J186="Huyện Cần Giờ", Ward!$AE$2:$AF$8, IF(J186="Huyện Củ Chi", Ward!$AG$2:$AH$22, IF(J186="Quận Gò Vấp", Ward!$AI$2:$AJ$17, IF(J186="Huyện Hóc Môn", Ward!$AK$2:$AL$13, IF(J186="Huyện Nhà Bè", Ward!$AM$2:$AN$8, IF(J186="Quận Phú Nhuận", Ward!$AO$2:$AP$16, IF(J186="Quận Tân Bình", Ward!$AQ$2:$AR$16, IF(J186="Quận Tân Phú", Ward!$AS$2:$AT$12, IF(J186="Quận Thủ Đức", Ward!$AU$2:$AV$13)))))))))))))))))))))))), 2, FALSE), "")</f>
        <v/>
      </c>
      <c r="Y186" s="20" t="str">
        <f>IF(B186 &lt;&gt; "", VLOOKUP(B186, HospitalType!$A$2:$B$9, 2, FALSE), "")</f>
        <v/>
      </c>
    </row>
    <row r="187" spans="1:25" x14ac:dyDescent="0.25">
      <c r="A187" s="34"/>
      <c r="B187" s="24"/>
      <c r="C187" s="24"/>
      <c r="D187" s="24"/>
      <c r="E187" s="24"/>
      <c r="F187" s="24"/>
      <c r="G187" s="25"/>
      <c r="H187" s="25"/>
      <c r="I187" s="25"/>
      <c r="J187" s="25"/>
      <c r="K187" s="25"/>
      <c r="L187" s="25"/>
      <c r="M187" s="25"/>
      <c r="N187" s="25"/>
      <c r="O187" s="25"/>
      <c r="P187" s="25"/>
      <c r="Q187" s="24"/>
      <c r="R187" s="26"/>
      <c r="S187" s="26"/>
      <c r="T187" s="26"/>
      <c r="U187" s="27"/>
      <c r="V187" s="20" t="str">
        <f>IF(I187 &lt;&gt; "", VLOOKUP(I187, City!$A$1:$B$2, 2, FALSE), "" )</f>
        <v/>
      </c>
      <c r="W187" s="20" t="str">
        <f>IF(J187 &lt;&gt; "", VLOOKUP(J187, District!$A$1:$B$25, 2, FALSE), "")</f>
        <v/>
      </c>
      <c r="X187" s="21" t="str">
        <f>IF(K187 &lt;&gt; "", VLOOKUP(K187, IF(J187="Quận 1", Ward!$A$2:$B$11, IF(J187="Quận 2", Ward!$C$2:$D$12, IF(J187="Quận 3", Ward!$E$2:$F$15, IF(J187="Quận 4", Ward!$G$2:$H$16, IF(J187="Quận 5", Ward!$I$2:$J$16, IF(J187="Quận 6", Ward!$K$2:$L$15, IF(J187="Quận 7", Ward!$M$2:$N$11, IF(J187="Quận 8", Ward!$O$2:$P$17, IF(J187="Quận 9", Ward!$Q$2:$R$14, IF(J187="Quận 10", Ward!$S$2:$T$16, IF(J187="Quận 11", Ward!$U$2:$V$17, IF(J187="Quận 12", Ward!$W$2:$X$12, IF(J187="Huyện Bình Chánh", Ward!$Y$2:$Z$17, IF(J187="Quận Bình Tân", Ward!$AA$2:$AB$11, IF(J187="Quận Bình Thạnh", Ward!$AC$2:$AD$21, IF(J187="Huyện Cần Giờ", Ward!$AE$2:$AF$8, IF(J187="Huyện Củ Chi", Ward!$AG$2:$AH$22, IF(J187="Quận Gò Vấp", Ward!$AI$2:$AJ$17, IF(J187="Huyện Hóc Môn", Ward!$AK$2:$AL$13, IF(J187="Huyện Nhà Bè", Ward!$AM$2:$AN$8, IF(J187="Quận Phú Nhuận", Ward!$AO$2:$AP$16, IF(J187="Quận Tân Bình", Ward!$AQ$2:$AR$16, IF(J187="Quận Tân Phú", Ward!$AS$2:$AT$12, IF(J187="Quận Thủ Đức", Ward!$AU$2:$AV$13)))))))))))))))))))))))), 2, FALSE), "")</f>
        <v/>
      </c>
      <c r="Y187" s="20" t="str">
        <f>IF(B187 &lt;&gt; "", VLOOKUP(B187, HospitalType!$A$2:$B$9, 2, FALSE), "")</f>
        <v/>
      </c>
    </row>
    <row r="188" spans="1:25" x14ac:dyDescent="0.25">
      <c r="A188" s="34"/>
      <c r="B188" s="24"/>
      <c r="C188" s="24"/>
      <c r="D188" s="24"/>
      <c r="E188" s="24"/>
      <c r="F188" s="24"/>
      <c r="G188" s="25"/>
      <c r="H188" s="25"/>
      <c r="I188" s="25"/>
      <c r="J188" s="25"/>
      <c r="K188" s="25"/>
      <c r="L188" s="25"/>
      <c r="M188" s="25"/>
      <c r="N188" s="25"/>
      <c r="O188" s="25"/>
      <c r="P188" s="25"/>
      <c r="Q188" s="24"/>
      <c r="R188" s="26"/>
      <c r="S188" s="26"/>
      <c r="T188" s="26"/>
      <c r="U188" s="27"/>
      <c r="V188" s="20" t="str">
        <f>IF(I188 &lt;&gt; "", VLOOKUP(I188, City!$A$1:$B$2, 2, FALSE), "" )</f>
        <v/>
      </c>
      <c r="W188" s="20" t="str">
        <f>IF(J188 &lt;&gt; "", VLOOKUP(J188, District!$A$1:$B$25, 2, FALSE), "")</f>
        <v/>
      </c>
      <c r="X188" s="21" t="str">
        <f>IF(K188 &lt;&gt; "", VLOOKUP(K188, IF(J188="Quận 1", Ward!$A$2:$B$11, IF(J188="Quận 2", Ward!$C$2:$D$12, IF(J188="Quận 3", Ward!$E$2:$F$15, IF(J188="Quận 4", Ward!$G$2:$H$16, IF(J188="Quận 5", Ward!$I$2:$J$16, IF(J188="Quận 6", Ward!$K$2:$L$15, IF(J188="Quận 7", Ward!$M$2:$N$11, IF(J188="Quận 8", Ward!$O$2:$P$17, IF(J188="Quận 9", Ward!$Q$2:$R$14, IF(J188="Quận 10", Ward!$S$2:$T$16, IF(J188="Quận 11", Ward!$U$2:$V$17, IF(J188="Quận 12", Ward!$W$2:$X$12, IF(J188="Huyện Bình Chánh", Ward!$Y$2:$Z$17, IF(J188="Quận Bình Tân", Ward!$AA$2:$AB$11, IF(J188="Quận Bình Thạnh", Ward!$AC$2:$AD$21, IF(J188="Huyện Cần Giờ", Ward!$AE$2:$AF$8, IF(J188="Huyện Củ Chi", Ward!$AG$2:$AH$22, IF(J188="Quận Gò Vấp", Ward!$AI$2:$AJ$17, IF(J188="Huyện Hóc Môn", Ward!$AK$2:$AL$13, IF(J188="Huyện Nhà Bè", Ward!$AM$2:$AN$8, IF(J188="Quận Phú Nhuận", Ward!$AO$2:$AP$16, IF(J188="Quận Tân Bình", Ward!$AQ$2:$AR$16, IF(J188="Quận Tân Phú", Ward!$AS$2:$AT$12, IF(J188="Quận Thủ Đức", Ward!$AU$2:$AV$13)))))))))))))))))))))))), 2, FALSE), "")</f>
        <v/>
      </c>
      <c r="Y188" s="20" t="str">
        <f>IF(B188 &lt;&gt; "", VLOOKUP(B188, HospitalType!$A$2:$B$9, 2, FALSE), "")</f>
        <v/>
      </c>
    </row>
    <row r="189" spans="1:25" x14ac:dyDescent="0.25">
      <c r="A189" s="34"/>
      <c r="B189" s="24"/>
      <c r="C189" s="24"/>
      <c r="D189" s="24"/>
      <c r="E189" s="24"/>
      <c r="F189" s="24"/>
      <c r="G189" s="25"/>
      <c r="H189" s="25"/>
      <c r="I189" s="25"/>
      <c r="J189" s="25"/>
      <c r="K189" s="25"/>
      <c r="L189" s="25"/>
      <c r="M189" s="25"/>
      <c r="N189" s="25"/>
      <c r="O189" s="25"/>
      <c r="P189" s="25"/>
      <c r="Q189" s="24"/>
      <c r="R189" s="26"/>
      <c r="S189" s="26"/>
      <c r="T189" s="26"/>
      <c r="U189" s="27"/>
      <c r="V189" s="20" t="str">
        <f>IF(I189 &lt;&gt; "", VLOOKUP(I189, City!$A$1:$B$2, 2, FALSE), "" )</f>
        <v/>
      </c>
      <c r="W189" s="20" t="str">
        <f>IF(J189 &lt;&gt; "", VLOOKUP(J189, District!$A$1:$B$25, 2, FALSE), "")</f>
        <v/>
      </c>
      <c r="X189" s="21" t="str">
        <f>IF(K189 &lt;&gt; "", VLOOKUP(K189, IF(J189="Quận 1", Ward!$A$2:$B$11, IF(J189="Quận 2", Ward!$C$2:$D$12, IF(J189="Quận 3", Ward!$E$2:$F$15, IF(J189="Quận 4", Ward!$G$2:$H$16, IF(J189="Quận 5", Ward!$I$2:$J$16, IF(J189="Quận 6", Ward!$K$2:$L$15, IF(J189="Quận 7", Ward!$M$2:$N$11, IF(J189="Quận 8", Ward!$O$2:$P$17, IF(J189="Quận 9", Ward!$Q$2:$R$14, IF(J189="Quận 10", Ward!$S$2:$T$16, IF(J189="Quận 11", Ward!$U$2:$V$17, IF(J189="Quận 12", Ward!$W$2:$X$12, IF(J189="Huyện Bình Chánh", Ward!$Y$2:$Z$17, IF(J189="Quận Bình Tân", Ward!$AA$2:$AB$11, IF(J189="Quận Bình Thạnh", Ward!$AC$2:$AD$21, IF(J189="Huyện Cần Giờ", Ward!$AE$2:$AF$8, IF(J189="Huyện Củ Chi", Ward!$AG$2:$AH$22, IF(J189="Quận Gò Vấp", Ward!$AI$2:$AJ$17, IF(J189="Huyện Hóc Môn", Ward!$AK$2:$AL$13, IF(J189="Huyện Nhà Bè", Ward!$AM$2:$AN$8, IF(J189="Quận Phú Nhuận", Ward!$AO$2:$AP$16, IF(J189="Quận Tân Bình", Ward!$AQ$2:$AR$16, IF(J189="Quận Tân Phú", Ward!$AS$2:$AT$12, IF(J189="Quận Thủ Đức", Ward!$AU$2:$AV$13)))))))))))))))))))))))), 2, FALSE), "")</f>
        <v/>
      </c>
      <c r="Y189" s="20" t="str">
        <f>IF(B189 &lt;&gt; "", VLOOKUP(B189, HospitalType!$A$2:$B$9, 2, FALSE), "")</f>
        <v/>
      </c>
    </row>
    <row r="190" spans="1:25" x14ac:dyDescent="0.25">
      <c r="A190" s="34"/>
      <c r="B190" s="24"/>
      <c r="C190" s="24"/>
      <c r="D190" s="24"/>
      <c r="E190" s="24"/>
      <c r="F190" s="24"/>
      <c r="G190" s="25"/>
      <c r="H190" s="25"/>
      <c r="I190" s="25"/>
      <c r="J190" s="25"/>
      <c r="K190" s="25"/>
      <c r="L190" s="25"/>
      <c r="M190" s="25"/>
      <c r="N190" s="25"/>
      <c r="O190" s="25"/>
      <c r="P190" s="25"/>
      <c r="Q190" s="24"/>
      <c r="R190" s="26"/>
      <c r="S190" s="26"/>
      <c r="T190" s="26"/>
      <c r="U190" s="27"/>
      <c r="V190" s="20" t="str">
        <f>IF(I190 &lt;&gt; "", VLOOKUP(I190, City!$A$1:$B$2, 2, FALSE), "" )</f>
        <v/>
      </c>
      <c r="W190" s="20" t="str">
        <f>IF(J190 &lt;&gt; "", VLOOKUP(J190, District!$A$1:$B$25, 2, FALSE), "")</f>
        <v/>
      </c>
      <c r="X190" s="21" t="str">
        <f>IF(K190 &lt;&gt; "", VLOOKUP(K190, IF(J190="Quận 1", Ward!$A$2:$B$11, IF(J190="Quận 2", Ward!$C$2:$D$12, IF(J190="Quận 3", Ward!$E$2:$F$15, IF(J190="Quận 4", Ward!$G$2:$H$16, IF(J190="Quận 5", Ward!$I$2:$J$16, IF(J190="Quận 6", Ward!$K$2:$L$15, IF(J190="Quận 7", Ward!$M$2:$N$11, IF(J190="Quận 8", Ward!$O$2:$P$17, IF(J190="Quận 9", Ward!$Q$2:$R$14, IF(J190="Quận 10", Ward!$S$2:$T$16, IF(J190="Quận 11", Ward!$U$2:$V$17, IF(J190="Quận 12", Ward!$W$2:$X$12, IF(J190="Huyện Bình Chánh", Ward!$Y$2:$Z$17, IF(J190="Quận Bình Tân", Ward!$AA$2:$AB$11, IF(J190="Quận Bình Thạnh", Ward!$AC$2:$AD$21, IF(J190="Huyện Cần Giờ", Ward!$AE$2:$AF$8, IF(J190="Huyện Củ Chi", Ward!$AG$2:$AH$22, IF(J190="Quận Gò Vấp", Ward!$AI$2:$AJ$17, IF(J190="Huyện Hóc Môn", Ward!$AK$2:$AL$13, IF(J190="Huyện Nhà Bè", Ward!$AM$2:$AN$8, IF(J190="Quận Phú Nhuận", Ward!$AO$2:$AP$16, IF(J190="Quận Tân Bình", Ward!$AQ$2:$AR$16, IF(J190="Quận Tân Phú", Ward!$AS$2:$AT$12, IF(J190="Quận Thủ Đức", Ward!$AU$2:$AV$13)))))))))))))))))))))))), 2, FALSE), "")</f>
        <v/>
      </c>
      <c r="Y190" s="20" t="str">
        <f>IF(B190 &lt;&gt; "", VLOOKUP(B190, HospitalType!$A$2:$B$9, 2, FALSE), "")</f>
        <v/>
      </c>
    </row>
    <row r="191" spans="1:25" x14ac:dyDescent="0.25">
      <c r="A191" s="34"/>
      <c r="B191" s="24"/>
      <c r="C191" s="24"/>
      <c r="D191" s="24"/>
      <c r="E191" s="24"/>
      <c r="F191" s="24"/>
      <c r="G191" s="25"/>
      <c r="H191" s="25"/>
      <c r="I191" s="25"/>
      <c r="J191" s="25"/>
      <c r="K191" s="25"/>
      <c r="L191" s="25"/>
      <c r="M191" s="25"/>
      <c r="N191" s="25"/>
      <c r="O191" s="25"/>
      <c r="P191" s="25"/>
      <c r="Q191" s="24"/>
      <c r="R191" s="26"/>
      <c r="S191" s="26"/>
      <c r="T191" s="26"/>
      <c r="U191" s="27"/>
      <c r="V191" s="20" t="str">
        <f>IF(I191 &lt;&gt; "", VLOOKUP(I191, City!$A$1:$B$2, 2, FALSE), "" )</f>
        <v/>
      </c>
      <c r="W191" s="20" t="str">
        <f>IF(J191 &lt;&gt; "", VLOOKUP(J191, District!$A$1:$B$25, 2, FALSE), "")</f>
        <v/>
      </c>
      <c r="X191" s="21" t="str">
        <f>IF(K191 &lt;&gt; "", VLOOKUP(K191, IF(J191="Quận 1", Ward!$A$2:$B$11, IF(J191="Quận 2", Ward!$C$2:$D$12, IF(J191="Quận 3", Ward!$E$2:$F$15, IF(J191="Quận 4", Ward!$G$2:$H$16, IF(J191="Quận 5", Ward!$I$2:$J$16, IF(J191="Quận 6", Ward!$K$2:$L$15, IF(J191="Quận 7", Ward!$M$2:$N$11, IF(J191="Quận 8", Ward!$O$2:$P$17, IF(J191="Quận 9", Ward!$Q$2:$R$14, IF(J191="Quận 10", Ward!$S$2:$T$16, IF(J191="Quận 11", Ward!$U$2:$V$17, IF(J191="Quận 12", Ward!$W$2:$X$12, IF(J191="Huyện Bình Chánh", Ward!$Y$2:$Z$17, IF(J191="Quận Bình Tân", Ward!$AA$2:$AB$11, IF(J191="Quận Bình Thạnh", Ward!$AC$2:$AD$21, IF(J191="Huyện Cần Giờ", Ward!$AE$2:$AF$8, IF(J191="Huyện Củ Chi", Ward!$AG$2:$AH$22, IF(J191="Quận Gò Vấp", Ward!$AI$2:$AJ$17, IF(J191="Huyện Hóc Môn", Ward!$AK$2:$AL$13, IF(J191="Huyện Nhà Bè", Ward!$AM$2:$AN$8, IF(J191="Quận Phú Nhuận", Ward!$AO$2:$AP$16, IF(J191="Quận Tân Bình", Ward!$AQ$2:$AR$16, IF(J191="Quận Tân Phú", Ward!$AS$2:$AT$12, IF(J191="Quận Thủ Đức", Ward!$AU$2:$AV$13)))))))))))))))))))))))), 2, FALSE), "")</f>
        <v/>
      </c>
      <c r="Y191" s="20" t="str">
        <f>IF(B191 &lt;&gt; "", VLOOKUP(B191, HospitalType!$A$2:$B$9, 2, FALSE), "")</f>
        <v/>
      </c>
    </row>
    <row r="192" spans="1:25" x14ac:dyDescent="0.25">
      <c r="A192" s="34"/>
      <c r="B192" s="24"/>
      <c r="C192" s="24"/>
      <c r="D192" s="24"/>
      <c r="E192" s="24"/>
      <c r="F192" s="24"/>
      <c r="G192" s="25"/>
      <c r="H192" s="25"/>
      <c r="I192" s="25"/>
      <c r="J192" s="25"/>
      <c r="K192" s="25"/>
      <c r="L192" s="25"/>
      <c r="M192" s="25"/>
      <c r="N192" s="25"/>
      <c r="O192" s="25"/>
      <c r="P192" s="25"/>
      <c r="Q192" s="24"/>
      <c r="R192" s="26"/>
      <c r="S192" s="26"/>
      <c r="T192" s="26"/>
      <c r="U192" s="27"/>
      <c r="V192" s="20" t="str">
        <f>IF(I192 &lt;&gt; "", VLOOKUP(I192, City!$A$1:$B$2, 2, FALSE), "" )</f>
        <v/>
      </c>
      <c r="W192" s="20" t="str">
        <f>IF(J192 &lt;&gt; "", VLOOKUP(J192, District!$A$1:$B$25, 2, FALSE), "")</f>
        <v/>
      </c>
      <c r="X192" s="21" t="str">
        <f>IF(K192 &lt;&gt; "", VLOOKUP(K192, IF(J192="Quận 1", Ward!$A$2:$B$11, IF(J192="Quận 2", Ward!$C$2:$D$12, IF(J192="Quận 3", Ward!$E$2:$F$15, IF(J192="Quận 4", Ward!$G$2:$H$16, IF(J192="Quận 5", Ward!$I$2:$J$16, IF(J192="Quận 6", Ward!$K$2:$L$15, IF(J192="Quận 7", Ward!$M$2:$N$11, IF(J192="Quận 8", Ward!$O$2:$P$17, IF(J192="Quận 9", Ward!$Q$2:$R$14, IF(J192="Quận 10", Ward!$S$2:$T$16, IF(J192="Quận 11", Ward!$U$2:$V$17, IF(J192="Quận 12", Ward!$W$2:$X$12, IF(J192="Huyện Bình Chánh", Ward!$Y$2:$Z$17, IF(J192="Quận Bình Tân", Ward!$AA$2:$AB$11, IF(J192="Quận Bình Thạnh", Ward!$AC$2:$AD$21, IF(J192="Huyện Cần Giờ", Ward!$AE$2:$AF$8, IF(J192="Huyện Củ Chi", Ward!$AG$2:$AH$22, IF(J192="Quận Gò Vấp", Ward!$AI$2:$AJ$17, IF(J192="Huyện Hóc Môn", Ward!$AK$2:$AL$13, IF(J192="Huyện Nhà Bè", Ward!$AM$2:$AN$8, IF(J192="Quận Phú Nhuận", Ward!$AO$2:$AP$16, IF(J192="Quận Tân Bình", Ward!$AQ$2:$AR$16, IF(J192="Quận Tân Phú", Ward!$AS$2:$AT$12, IF(J192="Quận Thủ Đức", Ward!$AU$2:$AV$13)))))))))))))))))))))))), 2, FALSE), "")</f>
        <v/>
      </c>
      <c r="Y192" s="20" t="str">
        <f>IF(B192 &lt;&gt; "", VLOOKUP(B192, HospitalType!$A$2:$B$9, 2, FALSE), "")</f>
        <v/>
      </c>
    </row>
    <row r="193" spans="1:25" x14ac:dyDescent="0.25">
      <c r="A193" s="34"/>
      <c r="B193" s="24"/>
      <c r="C193" s="24"/>
      <c r="D193" s="24"/>
      <c r="E193" s="24"/>
      <c r="F193" s="24"/>
      <c r="G193" s="25"/>
      <c r="H193" s="25"/>
      <c r="I193" s="25"/>
      <c r="J193" s="25"/>
      <c r="K193" s="25"/>
      <c r="L193" s="25"/>
      <c r="M193" s="25"/>
      <c r="N193" s="25"/>
      <c r="O193" s="25"/>
      <c r="P193" s="25"/>
      <c r="Q193" s="24"/>
      <c r="R193" s="26"/>
      <c r="S193" s="26"/>
      <c r="T193" s="26"/>
      <c r="U193" s="27"/>
      <c r="V193" s="20" t="str">
        <f>IF(I193 &lt;&gt; "", VLOOKUP(I193, City!$A$1:$B$2, 2, FALSE), "" )</f>
        <v/>
      </c>
      <c r="W193" s="20" t="str">
        <f>IF(J193 &lt;&gt; "", VLOOKUP(J193, District!$A$1:$B$25, 2, FALSE), "")</f>
        <v/>
      </c>
      <c r="X193" s="21" t="str">
        <f>IF(K193 &lt;&gt; "", VLOOKUP(K193, IF(J193="Quận 1", Ward!$A$2:$B$11, IF(J193="Quận 2", Ward!$C$2:$D$12, IF(J193="Quận 3", Ward!$E$2:$F$15, IF(J193="Quận 4", Ward!$G$2:$H$16, IF(J193="Quận 5", Ward!$I$2:$J$16, IF(J193="Quận 6", Ward!$K$2:$L$15, IF(J193="Quận 7", Ward!$M$2:$N$11, IF(J193="Quận 8", Ward!$O$2:$P$17, IF(J193="Quận 9", Ward!$Q$2:$R$14, IF(J193="Quận 10", Ward!$S$2:$T$16, IF(J193="Quận 11", Ward!$U$2:$V$17, IF(J193="Quận 12", Ward!$W$2:$X$12, IF(J193="Huyện Bình Chánh", Ward!$Y$2:$Z$17, IF(J193="Quận Bình Tân", Ward!$AA$2:$AB$11, IF(J193="Quận Bình Thạnh", Ward!$AC$2:$AD$21, IF(J193="Huyện Cần Giờ", Ward!$AE$2:$AF$8, IF(J193="Huyện Củ Chi", Ward!$AG$2:$AH$22, IF(J193="Quận Gò Vấp", Ward!$AI$2:$AJ$17, IF(J193="Huyện Hóc Môn", Ward!$AK$2:$AL$13, IF(J193="Huyện Nhà Bè", Ward!$AM$2:$AN$8, IF(J193="Quận Phú Nhuận", Ward!$AO$2:$AP$16, IF(J193="Quận Tân Bình", Ward!$AQ$2:$AR$16, IF(J193="Quận Tân Phú", Ward!$AS$2:$AT$12, IF(J193="Quận Thủ Đức", Ward!$AU$2:$AV$13)))))))))))))))))))))))), 2, FALSE), "")</f>
        <v/>
      </c>
      <c r="Y193" s="20" t="str">
        <f>IF(B193 &lt;&gt; "", VLOOKUP(B193, HospitalType!$A$2:$B$9, 2, FALSE), "")</f>
        <v/>
      </c>
    </row>
    <row r="194" spans="1:25" x14ac:dyDescent="0.25">
      <c r="A194" s="34"/>
      <c r="B194" s="24"/>
      <c r="C194" s="24"/>
      <c r="D194" s="24"/>
      <c r="E194" s="24"/>
      <c r="F194" s="24"/>
      <c r="G194" s="25"/>
      <c r="H194" s="25"/>
      <c r="I194" s="25"/>
      <c r="J194" s="25"/>
      <c r="K194" s="25"/>
      <c r="L194" s="25"/>
      <c r="M194" s="25"/>
      <c r="N194" s="25"/>
      <c r="O194" s="25"/>
      <c r="P194" s="25"/>
      <c r="Q194" s="24"/>
      <c r="R194" s="26"/>
      <c r="S194" s="26"/>
      <c r="T194" s="26"/>
      <c r="U194" s="27"/>
      <c r="V194" s="20" t="str">
        <f>IF(I194 &lt;&gt; "", VLOOKUP(I194, City!$A$1:$B$2, 2, FALSE), "" )</f>
        <v/>
      </c>
      <c r="W194" s="20" t="str">
        <f>IF(J194 &lt;&gt; "", VLOOKUP(J194, District!$A$1:$B$25, 2, FALSE), "")</f>
        <v/>
      </c>
      <c r="X194" s="21" t="str">
        <f>IF(K194 &lt;&gt; "", VLOOKUP(K194, IF(J194="Quận 1", Ward!$A$2:$B$11, IF(J194="Quận 2", Ward!$C$2:$D$12, IF(J194="Quận 3", Ward!$E$2:$F$15, IF(J194="Quận 4", Ward!$G$2:$H$16, IF(J194="Quận 5", Ward!$I$2:$J$16, IF(J194="Quận 6", Ward!$K$2:$L$15, IF(J194="Quận 7", Ward!$M$2:$N$11, IF(J194="Quận 8", Ward!$O$2:$P$17, IF(J194="Quận 9", Ward!$Q$2:$R$14, IF(J194="Quận 10", Ward!$S$2:$T$16, IF(J194="Quận 11", Ward!$U$2:$V$17, IF(J194="Quận 12", Ward!$W$2:$X$12, IF(J194="Huyện Bình Chánh", Ward!$Y$2:$Z$17, IF(J194="Quận Bình Tân", Ward!$AA$2:$AB$11, IF(J194="Quận Bình Thạnh", Ward!$AC$2:$AD$21, IF(J194="Huyện Cần Giờ", Ward!$AE$2:$AF$8, IF(J194="Huyện Củ Chi", Ward!$AG$2:$AH$22, IF(J194="Quận Gò Vấp", Ward!$AI$2:$AJ$17, IF(J194="Huyện Hóc Môn", Ward!$AK$2:$AL$13, IF(J194="Huyện Nhà Bè", Ward!$AM$2:$AN$8, IF(J194="Quận Phú Nhuận", Ward!$AO$2:$AP$16, IF(J194="Quận Tân Bình", Ward!$AQ$2:$AR$16, IF(J194="Quận Tân Phú", Ward!$AS$2:$AT$12, IF(J194="Quận Thủ Đức", Ward!$AU$2:$AV$13)))))))))))))))))))))))), 2, FALSE), "")</f>
        <v/>
      </c>
      <c r="Y194" s="20" t="str">
        <f>IF(B194 &lt;&gt; "", VLOOKUP(B194, HospitalType!$A$2:$B$9, 2, FALSE), "")</f>
        <v/>
      </c>
    </row>
    <row r="195" spans="1:25" x14ac:dyDescent="0.25">
      <c r="A195" s="34"/>
      <c r="B195" s="24"/>
      <c r="C195" s="24"/>
      <c r="D195" s="24"/>
      <c r="E195" s="24"/>
      <c r="F195" s="24"/>
      <c r="G195" s="25"/>
      <c r="H195" s="25"/>
      <c r="I195" s="25"/>
      <c r="J195" s="25"/>
      <c r="K195" s="25"/>
      <c r="L195" s="25"/>
      <c r="M195" s="25"/>
      <c r="N195" s="25"/>
      <c r="O195" s="25"/>
      <c r="P195" s="25"/>
      <c r="Q195" s="24"/>
      <c r="R195" s="26"/>
      <c r="S195" s="26"/>
      <c r="T195" s="26"/>
      <c r="U195" s="27"/>
      <c r="V195" s="20" t="str">
        <f>IF(I195 &lt;&gt; "", VLOOKUP(I195, City!$A$1:$B$2, 2, FALSE), "" )</f>
        <v/>
      </c>
      <c r="W195" s="20" t="str">
        <f>IF(J195 &lt;&gt; "", VLOOKUP(J195, District!$A$1:$B$25, 2, FALSE), "")</f>
        <v/>
      </c>
      <c r="X195" s="21" t="str">
        <f>IF(K195 &lt;&gt; "", VLOOKUP(K195, IF(J195="Quận 1", Ward!$A$2:$B$11, IF(J195="Quận 2", Ward!$C$2:$D$12, IF(J195="Quận 3", Ward!$E$2:$F$15, IF(J195="Quận 4", Ward!$G$2:$H$16, IF(J195="Quận 5", Ward!$I$2:$J$16, IF(J195="Quận 6", Ward!$K$2:$L$15, IF(J195="Quận 7", Ward!$M$2:$N$11, IF(J195="Quận 8", Ward!$O$2:$P$17, IF(J195="Quận 9", Ward!$Q$2:$R$14, IF(J195="Quận 10", Ward!$S$2:$T$16, IF(J195="Quận 11", Ward!$U$2:$V$17, IF(J195="Quận 12", Ward!$W$2:$X$12, IF(J195="Huyện Bình Chánh", Ward!$Y$2:$Z$17, IF(J195="Quận Bình Tân", Ward!$AA$2:$AB$11, IF(J195="Quận Bình Thạnh", Ward!$AC$2:$AD$21, IF(J195="Huyện Cần Giờ", Ward!$AE$2:$AF$8, IF(J195="Huyện Củ Chi", Ward!$AG$2:$AH$22, IF(J195="Quận Gò Vấp", Ward!$AI$2:$AJ$17, IF(J195="Huyện Hóc Môn", Ward!$AK$2:$AL$13, IF(J195="Huyện Nhà Bè", Ward!$AM$2:$AN$8, IF(J195="Quận Phú Nhuận", Ward!$AO$2:$AP$16, IF(J195="Quận Tân Bình", Ward!$AQ$2:$AR$16, IF(J195="Quận Tân Phú", Ward!$AS$2:$AT$12, IF(J195="Quận Thủ Đức", Ward!$AU$2:$AV$13)))))))))))))))))))))))), 2, FALSE), "")</f>
        <v/>
      </c>
      <c r="Y195" s="20" t="str">
        <f>IF(B195 &lt;&gt; "", VLOOKUP(B195, HospitalType!$A$2:$B$9, 2, FALSE), "")</f>
        <v/>
      </c>
    </row>
    <row r="196" spans="1:25" x14ac:dyDescent="0.25">
      <c r="A196" s="34"/>
      <c r="B196" s="24"/>
      <c r="C196" s="24"/>
      <c r="D196" s="24"/>
      <c r="E196" s="24"/>
      <c r="F196" s="24"/>
      <c r="G196" s="25"/>
      <c r="H196" s="25"/>
      <c r="I196" s="25"/>
      <c r="J196" s="25"/>
      <c r="K196" s="25"/>
      <c r="L196" s="25"/>
      <c r="M196" s="25"/>
      <c r="N196" s="25"/>
      <c r="O196" s="25"/>
      <c r="P196" s="25"/>
      <c r="Q196" s="24"/>
      <c r="R196" s="26"/>
      <c r="S196" s="26"/>
      <c r="T196" s="26"/>
      <c r="U196" s="27"/>
      <c r="V196" s="20" t="str">
        <f>IF(I196 &lt;&gt; "", VLOOKUP(I196, City!$A$1:$B$2, 2, FALSE), "" )</f>
        <v/>
      </c>
      <c r="W196" s="20" t="str">
        <f>IF(J196 &lt;&gt; "", VLOOKUP(J196, District!$A$1:$B$25, 2, FALSE), "")</f>
        <v/>
      </c>
      <c r="X196" s="21" t="str">
        <f>IF(K196 &lt;&gt; "", VLOOKUP(K196, IF(J196="Quận 1", Ward!$A$2:$B$11, IF(J196="Quận 2", Ward!$C$2:$D$12, IF(J196="Quận 3", Ward!$E$2:$F$15, IF(J196="Quận 4", Ward!$G$2:$H$16, IF(J196="Quận 5", Ward!$I$2:$J$16, IF(J196="Quận 6", Ward!$K$2:$L$15, IF(J196="Quận 7", Ward!$M$2:$N$11, IF(J196="Quận 8", Ward!$O$2:$P$17, IF(J196="Quận 9", Ward!$Q$2:$R$14, IF(J196="Quận 10", Ward!$S$2:$T$16, IF(J196="Quận 11", Ward!$U$2:$V$17, IF(J196="Quận 12", Ward!$W$2:$X$12, IF(J196="Huyện Bình Chánh", Ward!$Y$2:$Z$17, IF(J196="Quận Bình Tân", Ward!$AA$2:$AB$11, IF(J196="Quận Bình Thạnh", Ward!$AC$2:$AD$21, IF(J196="Huyện Cần Giờ", Ward!$AE$2:$AF$8, IF(J196="Huyện Củ Chi", Ward!$AG$2:$AH$22, IF(J196="Quận Gò Vấp", Ward!$AI$2:$AJ$17, IF(J196="Huyện Hóc Môn", Ward!$AK$2:$AL$13, IF(J196="Huyện Nhà Bè", Ward!$AM$2:$AN$8, IF(J196="Quận Phú Nhuận", Ward!$AO$2:$AP$16, IF(J196="Quận Tân Bình", Ward!$AQ$2:$AR$16, IF(J196="Quận Tân Phú", Ward!$AS$2:$AT$12, IF(J196="Quận Thủ Đức", Ward!$AU$2:$AV$13)))))))))))))))))))))))), 2, FALSE), "")</f>
        <v/>
      </c>
      <c r="Y196" s="20" t="str">
        <f>IF(B196 &lt;&gt; "", VLOOKUP(B196, HospitalType!$A$2:$B$9, 2, FALSE), "")</f>
        <v/>
      </c>
    </row>
    <row r="197" spans="1:25" x14ac:dyDescent="0.25">
      <c r="A197" s="34"/>
      <c r="B197" s="24"/>
      <c r="C197" s="24"/>
      <c r="D197" s="24"/>
      <c r="E197" s="24"/>
      <c r="F197" s="24"/>
      <c r="G197" s="25"/>
      <c r="H197" s="25"/>
      <c r="I197" s="25"/>
      <c r="J197" s="25"/>
      <c r="K197" s="25"/>
      <c r="L197" s="25"/>
      <c r="M197" s="25"/>
      <c r="N197" s="25"/>
      <c r="O197" s="25"/>
      <c r="P197" s="25"/>
      <c r="Q197" s="24"/>
      <c r="R197" s="26"/>
      <c r="S197" s="26"/>
      <c r="T197" s="26"/>
      <c r="U197" s="27"/>
      <c r="V197" s="20" t="str">
        <f>IF(I197 &lt;&gt; "", VLOOKUP(I197, City!$A$1:$B$2, 2, FALSE), "" )</f>
        <v/>
      </c>
      <c r="W197" s="20" t="str">
        <f>IF(J197 &lt;&gt; "", VLOOKUP(J197, District!$A$1:$B$25, 2, FALSE), "")</f>
        <v/>
      </c>
      <c r="X197" s="21" t="str">
        <f>IF(K197 &lt;&gt; "", VLOOKUP(K197, IF(J197="Quận 1", Ward!$A$2:$B$11, IF(J197="Quận 2", Ward!$C$2:$D$12, IF(J197="Quận 3", Ward!$E$2:$F$15, IF(J197="Quận 4", Ward!$G$2:$H$16, IF(J197="Quận 5", Ward!$I$2:$J$16, IF(J197="Quận 6", Ward!$K$2:$L$15, IF(J197="Quận 7", Ward!$M$2:$N$11, IF(J197="Quận 8", Ward!$O$2:$P$17, IF(J197="Quận 9", Ward!$Q$2:$R$14, IF(J197="Quận 10", Ward!$S$2:$T$16, IF(J197="Quận 11", Ward!$U$2:$V$17, IF(J197="Quận 12", Ward!$W$2:$X$12, IF(J197="Huyện Bình Chánh", Ward!$Y$2:$Z$17, IF(J197="Quận Bình Tân", Ward!$AA$2:$AB$11, IF(J197="Quận Bình Thạnh", Ward!$AC$2:$AD$21, IF(J197="Huyện Cần Giờ", Ward!$AE$2:$AF$8, IF(J197="Huyện Củ Chi", Ward!$AG$2:$AH$22, IF(J197="Quận Gò Vấp", Ward!$AI$2:$AJ$17, IF(J197="Huyện Hóc Môn", Ward!$AK$2:$AL$13, IF(J197="Huyện Nhà Bè", Ward!$AM$2:$AN$8, IF(J197="Quận Phú Nhuận", Ward!$AO$2:$AP$16, IF(J197="Quận Tân Bình", Ward!$AQ$2:$AR$16, IF(J197="Quận Tân Phú", Ward!$AS$2:$AT$12, IF(J197="Quận Thủ Đức", Ward!$AU$2:$AV$13)))))))))))))))))))))))), 2, FALSE), "")</f>
        <v/>
      </c>
      <c r="Y197" s="20" t="str">
        <f>IF(B197 &lt;&gt; "", VLOOKUP(B197, HospitalType!$A$2:$B$9, 2, FALSE), "")</f>
        <v/>
      </c>
    </row>
    <row r="198" spans="1:25" x14ac:dyDescent="0.25">
      <c r="A198" s="34"/>
      <c r="B198" s="24"/>
      <c r="C198" s="24"/>
      <c r="D198" s="24"/>
      <c r="E198" s="24"/>
      <c r="F198" s="24"/>
      <c r="G198" s="25"/>
      <c r="H198" s="25"/>
      <c r="I198" s="25"/>
      <c r="J198" s="25"/>
      <c r="K198" s="25"/>
      <c r="L198" s="25"/>
      <c r="M198" s="25"/>
      <c r="N198" s="25"/>
      <c r="O198" s="25"/>
      <c r="P198" s="25"/>
      <c r="Q198" s="24"/>
      <c r="R198" s="26"/>
      <c r="S198" s="26"/>
      <c r="T198" s="26"/>
      <c r="U198" s="27"/>
      <c r="V198" s="20" t="str">
        <f>IF(I198 &lt;&gt; "", VLOOKUP(I198, City!$A$1:$B$2, 2, FALSE), "" )</f>
        <v/>
      </c>
      <c r="W198" s="20" t="str">
        <f>IF(J198 &lt;&gt; "", VLOOKUP(J198, District!$A$1:$B$25, 2, FALSE), "")</f>
        <v/>
      </c>
      <c r="X198" s="21" t="str">
        <f>IF(K198 &lt;&gt; "", VLOOKUP(K198, IF(J198="Quận 1", Ward!$A$2:$B$11, IF(J198="Quận 2", Ward!$C$2:$D$12, IF(J198="Quận 3", Ward!$E$2:$F$15, IF(J198="Quận 4", Ward!$G$2:$H$16, IF(J198="Quận 5", Ward!$I$2:$J$16, IF(J198="Quận 6", Ward!$K$2:$L$15, IF(J198="Quận 7", Ward!$M$2:$N$11, IF(J198="Quận 8", Ward!$O$2:$P$17, IF(J198="Quận 9", Ward!$Q$2:$R$14, IF(J198="Quận 10", Ward!$S$2:$T$16, IF(J198="Quận 11", Ward!$U$2:$V$17, IF(J198="Quận 12", Ward!$W$2:$X$12, IF(J198="Huyện Bình Chánh", Ward!$Y$2:$Z$17, IF(J198="Quận Bình Tân", Ward!$AA$2:$AB$11, IF(J198="Quận Bình Thạnh", Ward!$AC$2:$AD$21, IF(J198="Huyện Cần Giờ", Ward!$AE$2:$AF$8, IF(J198="Huyện Củ Chi", Ward!$AG$2:$AH$22, IF(J198="Quận Gò Vấp", Ward!$AI$2:$AJ$17, IF(J198="Huyện Hóc Môn", Ward!$AK$2:$AL$13, IF(J198="Huyện Nhà Bè", Ward!$AM$2:$AN$8, IF(J198="Quận Phú Nhuận", Ward!$AO$2:$AP$16, IF(J198="Quận Tân Bình", Ward!$AQ$2:$AR$16, IF(J198="Quận Tân Phú", Ward!$AS$2:$AT$12, IF(J198="Quận Thủ Đức", Ward!$AU$2:$AV$13)))))))))))))))))))))))), 2, FALSE), "")</f>
        <v/>
      </c>
      <c r="Y198" s="20" t="str">
        <f>IF(B198 &lt;&gt; "", VLOOKUP(B198, HospitalType!$A$2:$B$9, 2, FALSE), "")</f>
        <v/>
      </c>
    </row>
    <row r="199" spans="1:25" x14ac:dyDescent="0.25">
      <c r="A199" s="34"/>
      <c r="B199" s="24"/>
      <c r="C199" s="24"/>
      <c r="D199" s="24"/>
      <c r="E199" s="24"/>
      <c r="F199" s="24"/>
      <c r="G199" s="25"/>
      <c r="H199" s="25"/>
      <c r="I199" s="25"/>
      <c r="J199" s="25"/>
      <c r="K199" s="25"/>
      <c r="L199" s="25"/>
      <c r="M199" s="25"/>
      <c r="N199" s="25"/>
      <c r="O199" s="25"/>
      <c r="P199" s="25"/>
      <c r="Q199" s="24"/>
      <c r="R199" s="26"/>
      <c r="S199" s="26"/>
      <c r="T199" s="26"/>
      <c r="U199" s="27"/>
      <c r="V199" s="20" t="str">
        <f>IF(I199 &lt;&gt; "", VLOOKUP(I199, City!$A$1:$B$2, 2, FALSE), "" )</f>
        <v/>
      </c>
      <c r="W199" s="20" t="str">
        <f>IF(J199 &lt;&gt; "", VLOOKUP(J199, District!$A$1:$B$25, 2, FALSE), "")</f>
        <v/>
      </c>
      <c r="X199" s="21" t="str">
        <f>IF(K199 &lt;&gt; "", VLOOKUP(K199, IF(J199="Quận 1", Ward!$A$2:$B$11, IF(J199="Quận 2", Ward!$C$2:$D$12, IF(J199="Quận 3", Ward!$E$2:$F$15, IF(J199="Quận 4", Ward!$G$2:$H$16, IF(J199="Quận 5", Ward!$I$2:$J$16, IF(J199="Quận 6", Ward!$K$2:$L$15, IF(J199="Quận 7", Ward!$M$2:$N$11, IF(J199="Quận 8", Ward!$O$2:$P$17, IF(J199="Quận 9", Ward!$Q$2:$R$14, IF(J199="Quận 10", Ward!$S$2:$T$16, IF(J199="Quận 11", Ward!$U$2:$V$17, IF(J199="Quận 12", Ward!$W$2:$X$12, IF(J199="Huyện Bình Chánh", Ward!$Y$2:$Z$17, IF(J199="Quận Bình Tân", Ward!$AA$2:$AB$11, IF(J199="Quận Bình Thạnh", Ward!$AC$2:$AD$21, IF(J199="Huyện Cần Giờ", Ward!$AE$2:$AF$8, IF(J199="Huyện Củ Chi", Ward!$AG$2:$AH$22, IF(J199="Quận Gò Vấp", Ward!$AI$2:$AJ$17, IF(J199="Huyện Hóc Môn", Ward!$AK$2:$AL$13, IF(J199="Huyện Nhà Bè", Ward!$AM$2:$AN$8, IF(J199="Quận Phú Nhuận", Ward!$AO$2:$AP$16, IF(J199="Quận Tân Bình", Ward!$AQ$2:$AR$16, IF(J199="Quận Tân Phú", Ward!$AS$2:$AT$12, IF(J199="Quận Thủ Đức", Ward!$AU$2:$AV$13)))))))))))))))))))))))), 2, FALSE), "")</f>
        <v/>
      </c>
      <c r="Y199" s="20" t="str">
        <f>IF(B199 &lt;&gt; "", VLOOKUP(B199, HospitalType!$A$2:$B$9, 2, FALSE), "")</f>
        <v/>
      </c>
    </row>
    <row r="200" spans="1:25" ht="15.75" thickBot="1" x14ac:dyDescent="0.3">
      <c r="A200" s="35"/>
      <c r="B200" s="29"/>
      <c r="C200" s="29"/>
      <c r="D200" s="29"/>
      <c r="E200" s="29"/>
      <c r="F200" s="29"/>
      <c r="G200" s="30"/>
      <c r="H200" s="30"/>
      <c r="I200" s="30"/>
      <c r="J200" s="30"/>
      <c r="K200" s="30"/>
      <c r="L200" s="30"/>
      <c r="M200" s="30"/>
      <c r="N200" s="30"/>
      <c r="O200" s="30"/>
      <c r="P200" s="30"/>
      <c r="Q200" s="29"/>
      <c r="R200" s="31"/>
      <c r="S200" s="31"/>
      <c r="T200" s="31"/>
      <c r="U200" s="32"/>
      <c r="V200" s="20" t="str">
        <f>IF(I200 &lt;&gt; "", VLOOKUP(I200, City!$A$1:$B$2, 2, FALSE), "" )</f>
        <v/>
      </c>
      <c r="W200" s="20" t="str">
        <f>IF(J200 &lt;&gt; "", VLOOKUP(J200, District!$A$1:$B$25, 2, FALSE), "")</f>
        <v/>
      </c>
      <c r="X200" s="21" t="str">
        <f>IF(K200 &lt;&gt; "", VLOOKUP(K200, IF(J200="Quận 1", Ward!$A$2:$B$11, IF(J200="Quận 2", Ward!$C$2:$D$12, IF(J200="Quận 3", Ward!$E$2:$F$15, IF(J200="Quận 4", Ward!$G$2:$H$16, IF(J200="Quận 5", Ward!$I$2:$J$16, IF(J200="Quận 6", Ward!$K$2:$L$15, IF(J200="Quận 7", Ward!$M$2:$N$11, IF(J200="Quận 8", Ward!$O$2:$P$17, IF(J200="Quận 9", Ward!$Q$2:$R$14, IF(J200="Quận 10", Ward!$S$2:$T$16, IF(J200="Quận 11", Ward!$U$2:$V$17, IF(J200="Quận 12", Ward!$W$2:$X$12, IF(J200="Huyện Bình Chánh", Ward!$Y$2:$Z$17, IF(J200="Quận Bình Tân", Ward!$AA$2:$AB$11, IF(J200="Quận Bình Thạnh", Ward!$AC$2:$AD$21, IF(J200="Huyện Cần Giờ", Ward!$AE$2:$AF$8, IF(J200="Huyện Củ Chi", Ward!$AG$2:$AH$22, IF(J200="Quận Gò Vấp", Ward!$AI$2:$AJ$17, IF(J200="Huyện Hóc Môn", Ward!$AK$2:$AL$13, IF(J200="Huyện Nhà Bè", Ward!$AM$2:$AN$8, IF(J200="Quận Phú Nhuận", Ward!$AO$2:$AP$16, IF(J200="Quận Tân Bình", Ward!$AQ$2:$AR$16, IF(J200="Quận Tân Phú", Ward!$AS$2:$AT$12, IF(J200="Quận Thủ Đức", Ward!$AU$2:$AV$13)))))))))))))))))))))))), 2, FALSE), "")</f>
        <v/>
      </c>
      <c r="Y200" s="20" t="str">
        <f>IF(B200 &lt;&gt; "", VLOOKUP(B200, HospitalType!$A$2:$B$9, 2, FALSE), "")</f>
        <v/>
      </c>
    </row>
  </sheetData>
  <dataValidations count="8">
    <dataValidation type="list" allowBlank="1" showInputMessage="1" showErrorMessage="1" sqref="I2:I200">
      <formula1>CityList</formula1>
    </dataValidation>
    <dataValidation type="list" allowBlank="1" showInputMessage="1" showErrorMessage="1" sqref="J2:J200">
      <formula1>INDIRECT(SUBSTITUTE($I2, " ", "_")&amp;"_List")</formula1>
    </dataValidation>
    <dataValidation type="list" allowBlank="1" showInputMessage="1" showErrorMessage="1" sqref="K2:K200">
      <formula1>INDIRECT("SG_"&amp;SUBSTITUTE($J2, " ", "_")&amp;"_List")</formula1>
    </dataValidation>
    <dataValidation type="list" allowBlank="1" showInputMessage="1" showErrorMessage="1" sqref="R2:R200">
      <formula1>SpecialityList</formula1>
    </dataValidation>
    <dataValidation type="list" allowBlank="1" showInputMessage="1" showErrorMessage="1" sqref="S2:S200">
      <formula1>ServiceList</formula1>
    </dataValidation>
    <dataValidation type="list" allowBlank="1" showInputMessage="1" showErrorMessage="1" sqref="T2:T200">
      <formula1>FacilityList</formula1>
    </dataValidation>
    <dataValidation type="list" allowBlank="1" showInputMessage="1" showErrorMessage="1" sqref="B2:B200">
      <formula1>HospitalTypeList</formula1>
    </dataValidation>
    <dataValidation type="list" allowBlank="1" showInputMessage="1" showErrorMessage="1" sqref="E2:E200">
      <formula1>"True, False"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 x14ac:dyDescent="0.25"/>
  <cols>
    <col min="1" max="1" width="16.140625" bestFit="1" customWidth="1"/>
    <col min="2" max="2" width="8.140625" bestFit="1" customWidth="1"/>
  </cols>
  <sheetData>
    <row r="1" spans="1:2" ht="19.5" x14ac:dyDescent="0.25">
      <c r="A1" s="1" t="s">
        <v>11</v>
      </c>
      <c r="B1" s="11" t="s">
        <v>85</v>
      </c>
    </row>
    <row r="2" spans="1:2" ht="15.75" thickBot="1" x14ac:dyDescent="0.3">
      <c r="A2" s="4" t="s">
        <v>12</v>
      </c>
      <c r="B2" s="10">
        <v>79</v>
      </c>
    </row>
  </sheetData>
  <autoFilter ref="A1: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5"/>
  <sheetViews>
    <sheetView workbookViewId="0"/>
  </sheetViews>
  <sheetFormatPr defaultRowHeight="15" x14ac:dyDescent="0.25"/>
  <cols>
    <col min="1" max="1" width="18.7109375" bestFit="1" customWidth="1"/>
    <col min="2" max="2" width="8.140625" bestFit="1" customWidth="1"/>
  </cols>
  <sheetData>
    <row r="1" spans="1:2" ht="19.5" x14ac:dyDescent="0.25">
      <c r="A1" s="1" t="s">
        <v>12</v>
      </c>
      <c r="B1" s="11" t="s">
        <v>85</v>
      </c>
    </row>
    <row r="2" spans="1:2" x14ac:dyDescent="0.25">
      <c r="A2" s="2" t="s">
        <v>327</v>
      </c>
      <c r="B2" s="9">
        <v>760</v>
      </c>
    </row>
    <row r="3" spans="1:2" x14ac:dyDescent="0.25">
      <c r="A3" s="2" t="s">
        <v>328</v>
      </c>
      <c r="B3" s="9">
        <v>771</v>
      </c>
    </row>
    <row r="4" spans="1:2" x14ac:dyDescent="0.25">
      <c r="A4" s="2" t="s">
        <v>329</v>
      </c>
      <c r="B4" s="9">
        <v>772</v>
      </c>
    </row>
    <row r="5" spans="1:2" x14ac:dyDescent="0.25">
      <c r="A5" s="2" t="s">
        <v>330</v>
      </c>
      <c r="B5" s="9">
        <v>761</v>
      </c>
    </row>
    <row r="6" spans="1:2" x14ac:dyDescent="0.25">
      <c r="A6" s="2" t="s">
        <v>331</v>
      </c>
      <c r="B6" s="9">
        <v>769</v>
      </c>
    </row>
    <row r="7" spans="1:2" x14ac:dyDescent="0.25">
      <c r="A7" s="2" t="s">
        <v>332</v>
      </c>
      <c r="B7" s="9">
        <v>770</v>
      </c>
    </row>
    <row r="8" spans="1:2" x14ac:dyDescent="0.25">
      <c r="A8" s="2" t="s">
        <v>333</v>
      </c>
      <c r="B8" s="9">
        <v>773</v>
      </c>
    </row>
    <row r="9" spans="1:2" x14ac:dyDescent="0.25">
      <c r="A9" s="2" t="s">
        <v>334</v>
      </c>
      <c r="B9" s="9">
        <v>774</v>
      </c>
    </row>
    <row r="10" spans="1:2" x14ac:dyDescent="0.25">
      <c r="A10" s="2" t="s">
        <v>335</v>
      </c>
      <c r="B10" s="9">
        <v>775</v>
      </c>
    </row>
    <row r="11" spans="1:2" x14ac:dyDescent="0.25">
      <c r="A11" s="2" t="s">
        <v>336</v>
      </c>
      <c r="B11" s="9">
        <v>778</v>
      </c>
    </row>
    <row r="12" spans="1:2" x14ac:dyDescent="0.25">
      <c r="A12" s="2" t="s">
        <v>337</v>
      </c>
      <c r="B12" s="9">
        <v>776</v>
      </c>
    </row>
    <row r="13" spans="1:2" x14ac:dyDescent="0.25">
      <c r="A13" s="2" t="s">
        <v>338</v>
      </c>
      <c r="B13" s="9">
        <v>763</v>
      </c>
    </row>
    <row r="14" spans="1:2" x14ac:dyDescent="0.25">
      <c r="A14" s="2" t="s">
        <v>419</v>
      </c>
      <c r="B14" s="9">
        <v>785</v>
      </c>
    </row>
    <row r="15" spans="1:2" x14ac:dyDescent="0.25">
      <c r="A15" s="2" t="s">
        <v>339</v>
      </c>
      <c r="B15" s="9">
        <v>777</v>
      </c>
    </row>
    <row r="16" spans="1:2" x14ac:dyDescent="0.25">
      <c r="A16" s="2" t="s">
        <v>340</v>
      </c>
      <c r="B16" s="9">
        <v>765</v>
      </c>
    </row>
    <row r="17" spans="1:2" x14ac:dyDescent="0.25">
      <c r="A17" s="2" t="s">
        <v>421</v>
      </c>
      <c r="B17" s="9">
        <v>787</v>
      </c>
    </row>
    <row r="18" spans="1:2" x14ac:dyDescent="0.25">
      <c r="A18" s="2" t="s">
        <v>417</v>
      </c>
      <c r="B18" s="9">
        <v>783</v>
      </c>
    </row>
    <row r="19" spans="1:2" x14ac:dyDescent="0.25">
      <c r="A19" s="2" t="s">
        <v>341</v>
      </c>
      <c r="B19" s="9">
        <v>764</v>
      </c>
    </row>
    <row r="20" spans="1:2" x14ac:dyDescent="0.25">
      <c r="A20" s="2" t="s">
        <v>418</v>
      </c>
      <c r="B20" s="9">
        <v>784</v>
      </c>
    </row>
    <row r="21" spans="1:2" x14ac:dyDescent="0.25">
      <c r="A21" s="2" t="s">
        <v>420</v>
      </c>
      <c r="B21" s="9">
        <v>786</v>
      </c>
    </row>
    <row r="22" spans="1:2" x14ac:dyDescent="0.25">
      <c r="A22" s="2" t="s">
        <v>342</v>
      </c>
      <c r="B22" s="9">
        <v>768</v>
      </c>
    </row>
    <row r="23" spans="1:2" x14ac:dyDescent="0.25">
      <c r="A23" s="2" t="s">
        <v>343</v>
      </c>
      <c r="B23" s="9">
        <v>766</v>
      </c>
    </row>
    <row r="24" spans="1:2" x14ac:dyDescent="0.25">
      <c r="A24" s="2" t="s">
        <v>344</v>
      </c>
      <c r="B24" s="9">
        <v>767</v>
      </c>
    </row>
    <row r="25" spans="1:2" ht="15.75" thickBot="1" x14ac:dyDescent="0.3">
      <c r="A25" s="12" t="s">
        <v>345</v>
      </c>
      <c r="B25" s="10">
        <v>762</v>
      </c>
    </row>
  </sheetData>
  <autoFilter ref="A1:A2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V22"/>
  <sheetViews>
    <sheetView topLeftCell="AI1" workbookViewId="0">
      <selection activeCell="AI1" sqref="AI1"/>
    </sheetView>
  </sheetViews>
  <sheetFormatPr defaultRowHeight="15" x14ac:dyDescent="0.25"/>
  <cols>
    <col min="1" max="1" width="24.140625" bestFit="1" customWidth="1"/>
    <col min="2" max="2" width="10.42578125" bestFit="1" customWidth="1"/>
    <col min="3" max="3" width="23.28515625" bestFit="1" customWidth="1"/>
    <col min="4" max="12" width="10.42578125" bestFit="1" customWidth="1"/>
    <col min="13" max="13" width="22.85546875" bestFit="1" customWidth="1"/>
    <col min="14" max="16" width="10.42578125" bestFit="1" customWidth="1"/>
    <col min="17" max="17" width="24" bestFit="1" customWidth="1"/>
    <col min="18" max="22" width="10.42578125" bestFit="1" customWidth="1"/>
    <col min="23" max="23" width="24.42578125" bestFit="1" customWidth="1"/>
    <col min="24" max="24" width="10.42578125" bestFit="1" customWidth="1"/>
    <col min="25" max="25" width="17.5703125" bestFit="1" customWidth="1"/>
    <col min="26" max="26" width="10.42578125" bestFit="1" customWidth="1"/>
    <col min="27" max="27" width="23.5703125" bestFit="1" customWidth="1"/>
    <col min="28" max="28" width="10.42578125" bestFit="1" customWidth="1"/>
    <col min="29" max="29" width="16.85546875" customWidth="1"/>
    <col min="30" max="30" width="10.42578125" bestFit="1" customWidth="1"/>
    <col min="31" max="31" width="20.42578125" bestFit="1" customWidth="1"/>
    <col min="32" max="32" width="10.42578125" bestFit="1" customWidth="1"/>
    <col min="33" max="33" width="19.5703125" bestFit="1" customWidth="1"/>
    <col min="34" max="34" width="10.42578125" bestFit="1" customWidth="1"/>
    <col min="35" max="36" width="11.85546875" customWidth="1"/>
    <col min="37" max="37" width="20" bestFit="1" customWidth="1"/>
    <col min="38" max="38" width="10.42578125" bestFit="1" customWidth="1"/>
    <col min="39" max="39" width="14.85546875" bestFit="1" customWidth="1"/>
    <col min="40" max="40" width="10.42578125" bestFit="1" customWidth="1"/>
    <col min="41" max="41" width="15.28515625" customWidth="1"/>
    <col min="42" max="42" width="10.42578125" bestFit="1" customWidth="1"/>
    <col min="43" max="43" width="12.42578125" customWidth="1"/>
    <col min="44" max="44" width="10.42578125" bestFit="1" customWidth="1"/>
    <col min="45" max="45" width="20.140625" bestFit="1" customWidth="1"/>
    <col min="46" max="46" width="12.42578125" customWidth="1"/>
    <col min="47" max="47" width="23.42578125" bestFit="1" customWidth="1"/>
  </cols>
  <sheetData>
    <row r="1" spans="1:48" ht="19.5" x14ac:dyDescent="0.25">
      <c r="A1" s="5">
        <v>1</v>
      </c>
      <c r="B1" s="6" t="s">
        <v>85</v>
      </c>
      <c r="C1" s="6" t="s">
        <v>14</v>
      </c>
      <c r="D1" s="6" t="s">
        <v>85</v>
      </c>
      <c r="E1" s="6" t="s">
        <v>15</v>
      </c>
      <c r="F1" s="6" t="s">
        <v>85</v>
      </c>
      <c r="G1" s="6">
        <v>4</v>
      </c>
      <c r="H1" s="6" t="s">
        <v>85</v>
      </c>
      <c r="I1" s="6">
        <v>5</v>
      </c>
      <c r="J1" s="6" t="s">
        <v>85</v>
      </c>
      <c r="K1" s="6">
        <v>6</v>
      </c>
      <c r="L1" s="6" t="s">
        <v>85</v>
      </c>
      <c r="M1" s="6">
        <v>7</v>
      </c>
      <c r="N1" s="6" t="s">
        <v>85</v>
      </c>
      <c r="O1" s="6">
        <v>8</v>
      </c>
      <c r="P1" s="6" t="s">
        <v>85</v>
      </c>
      <c r="Q1" s="6">
        <v>9</v>
      </c>
      <c r="R1" s="6" t="s">
        <v>85</v>
      </c>
      <c r="S1" s="6" t="s">
        <v>13</v>
      </c>
      <c r="T1" s="6" t="s">
        <v>85</v>
      </c>
      <c r="U1" s="6">
        <v>11</v>
      </c>
      <c r="V1" s="6" t="s">
        <v>85</v>
      </c>
      <c r="W1" s="6">
        <v>12</v>
      </c>
      <c r="X1" s="6" t="s">
        <v>85</v>
      </c>
      <c r="Y1" s="6" t="s">
        <v>16</v>
      </c>
      <c r="Z1" s="6" t="s">
        <v>85</v>
      </c>
      <c r="AA1" s="6" t="s">
        <v>17</v>
      </c>
      <c r="AB1" s="6" t="s">
        <v>85</v>
      </c>
      <c r="AC1" s="6" t="s">
        <v>18</v>
      </c>
      <c r="AD1" s="6" t="s">
        <v>85</v>
      </c>
      <c r="AE1" s="6" t="s">
        <v>19</v>
      </c>
      <c r="AF1" s="6" t="s">
        <v>85</v>
      </c>
      <c r="AG1" s="6" t="s">
        <v>20</v>
      </c>
      <c r="AH1" s="6" t="s">
        <v>85</v>
      </c>
      <c r="AI1" s="6" t="s">
        <v>21</v>
      </c>
      <c r="AJ1" s="6" t="s">
        <v>85</v>
      </c>
      <c r="AK1" s="6" t="s">
        <v>22</v>
      </c>
      <c r="AL1" s="6" t="s">
        <v>85</v>
      </c>
      <c r="AM1" s="6" t="s">
        <v>23</v>
      </c>
      <c r="AN1" s="6" t="s">
        <v>85</v>
      </c>
      <c r="AO1" s="6" t="s">
        <v>24</v>
      </c>
      <c r="AP1" s="6" t="s">
        <v>85</v>
      </c>
      <c r="AQ1" s="6" t="s">
        <v>25</v>
      </c>
      <c r="AR1" s="6" t="s">
        <v>85</v>
      </c>
      <c r="AS1" s="6" t="s">
        <v>26</v>
      </c>
      <c r="AT1" s="6" t="s">
        <v>85</v>
      </c>
      <c r="AU1" s="6" t="s">
        <v>27</v>
      </c>
      <c r="AV1" s="7" t="s">
        <v>85</v>
      </c>
    </row>
    <row r="2" spans="1:48" x14ac:dyDescent="0.25">
      <c r="A2" t="s">
        <v>346</v>
      </c>
      <c r="B2" s="8">
        <v>26740</v>
      </c>
      <c r="C2" s="8" t="s">
        <v>356</v>
      </c>
      <c r="D2" s="8">
        <v>27106</v>
      </c>
      <c r="E2" s="16" t="s">
        <v>367</v>
      </c>
      <c r="F2" s="8" t="s">
        <v>86</v>
      </c>
      <c r="G2" s="8" t="s">
        <v>367</v>
      </c>
      <c r="H2" s="8" t="s">
        <v>100</v>
      </c>
      <c r="I2" s="8" t="s">
        <v>367</v>
      </c>
      <c r="J2" s="8" t="s">
        <v>115</v>
      </c>
      <c r="K2" s="8" t="s">
        <v>367</v>
      </c>
      <c r="L2" s="8" t="s">
        <v>130</v>
      </c>
      <c r="M2" s="8" t="s">
        <v>384</v>
      </c>
      <c r="N2" s="8">
        <v>27478</v>
      </c>
      <c r="O2" s="8" t="s">
        <v>367</v>
      </c>
      <c r="P2" s="8" t="s">
        <v>144</v>
      </c>
      <c r="Q2" s="8" t="s">
        <v>394</v>
      </c>
      <c r="R2" s="8">
        <v>26839</v>
      </c>
      <c r="S2" s="8" t="s">
        <v>367</v>
      </c>
      <c r="T2" s="8" t="s">
        <v>160</v>
      </c>
      <c r="U2" s="8" t="s">
        <v>367</v>
      </c>
      <c r="V2" s="8" t="s">
        <v>175</v>
      </c>
      <c r="W2" s="8" t="s">
        <v>406</v>
      </c>
      <c r="X2" s="8">
        <v>26779</v>
      </c>
      <c r="Y2" s="8" t="s">
        <v>423</v>
      </c>
      <c r="Z2" s="8">
        <v>27625</v>
      </c>
      <c r="AA2" s="8" t="s">
        <v>438</v>
      </c>
      <c r="AB2" s="8">
        <v>27460</v>
      </c>
      <c r="AC2" s="8" t="s">
        <v>367</v>
      </c>
      <c r="AD2" s="8" t="s">
        <v>191</v>
      </c>
      <c r="AE2" s="8" t="s">
        <v>458</v>
      </c>
      <c r="AF2" s="8">
        <v>27673</v>
      </c>
      <c r="AG2" s="8" t="s">
        <v>465</v>
      </c>
      <c r="AH2" s="8">
        <v>27508</v>
      </c>
      <c r="AI2" s="8" t="s">
        <v>367</v>
      </c>
      <c r="AJ2" s="8" t="s">
        <v>211</v>
      </c>
      <c r="AK2" s="8" t="s">
        <v>489</v>
      </c>
      <c r="AL2" s="8">
        <v>27592</v>
      </c>
      <c r="AM2" s="8" t="s">
        <v>501</v>
      </c>
      <c r="AN2" s="8">
        <v>27661</v>
      </c>
      <c r="AO2" s="8" t="s">
        <v>367</v>
      </c>
      <c r="AP2" s="8" t="s">
        <v>227</v>
      </c>
      <c r="AQ2" s="8" t="s">
        <v>367</v>
      </c>
      <c r="AR2" s="8" t="s">
        <v>242</v>
      </c>
      <c r="AS2" s="8" t="s">
        <v>507</v>
      </c>
      <c r="AT2" s="8">
        <v>27037</v>
      </c>
      <c r="AU2" s="8" t="s">
        <v>518</v>
      </c>
      <c r="AV2" s="13">
        <v>26797</v>
      </c>
    </row>
    <row r="3" spans="1:48" x14ac:dyDescent="0.25">
      <c r="A3" t="s">
        <v>347</v>
      </c>
      <c r="B3" s="8">
        <v>26743</v>
      </c>
      <c r="C3" s="8" t="s">
        <v>357</v>
      </c>
      <c r="D3" s="8">
        <v>27115</v>
      </c>
      <c r="E3" s="16" t="s">
        <v>368</v>
      </c>
      <c r="F3" s="8" t="s">
        <v>87</v>
      </c>
      <c r="G3" s="8" t="s">
        <v>368</v>
      </c>
      <c r="H3" s="8" t="s">
        <v>101</v>
      </c>
      <c r="I3" s="8" t="s">
        <v>368</v>
      </c>
      <c r="J3" s="8" t="s">
        <v>116</v>
      </c>
      <c r="K3" s="8" t="s">
        <v>368</v>
      </c>
      <c r="L3" s="8" t="s">
        <v>131</v>
      </c>
      <c r="M3" s="8" t="s">
        <v>385</v>
      </c>
      <c r="N3" s="8">
        <v>27493</v>
      </c>
      <c r="O3" s="8" t="s">
        <v>368</v>
      </c>
      <c r="P3" s="8" t="s">
        <v>145</v>
      </c>
      <c r="Q3" s="8" t="s">
        <v>395</v>
      </c>
      <c r="R3" s="8">
        <v>26830</v>
      </c>
      <c r="S3" s="8" t="s">
        <v>368</v>
      </c>
      <c r="T3" s="8" t="s">
        <v>161</v>
      </c>
      <c r="U3" s="8" t="s">
        <v>368</v>
      </c>
      <c r="V3" s="8" t="s">
        <v>176</v>
      </c>
      <c r="W3" s="8" t="s">
        <v>407</v>
      </c>
      <c r="X3" s="8">
        <v>26788</v>
      </c>
      <c r="Y3" s="8" t="s">
        <v>424</v>
      </c>
      <c r="Z3" s="8">
        <v>27637</v>
      </c>
      <c r="AA3" s="8" t="s">
        <v>439</v>
      </c>
      <c r="AB3" s="8">
        <v>27463</v>
      </c>
      <c r="AC3" s="8" t="s">
        <v>368</v>
      </c>
      <c r="AD3" s="8" t="s">
        <v>192</v>
      </c>
      <c r="AE3" s="8" t="s">
        <v>459</v>
      </c>
      <c r="AF3" s="8">
        <v>27667</v>
      </c>
      <c r="AG3" s="8" t="s">
        <v>466</v>
      </c>
      <c r="AH3" s="8">
        <v>27502</v>
      </c>
      <c r="AI3" s="8" t="s">
        <v>369</v>
      </c>
      <c r="AJ3" s="8" t="s">
        <v>212</v>
      </c>
      <c r="AK3" s="8" t="s">
        <v>490</v>
      </c>
      <c r="AL3" s="8">
        <v>27568</v>
      </c>
      <c r="AM3" s="8" t="s">
        <v>502</v>
      </c>
      <c r="AN3" s="8">
        <v>27658</v>
      </c>
      <c r="AO3" s="8" t="s">
        <v>368</v>
      </c>
      <c r="AP3" s="8" t="s">
        <v>228</v>
      </c>
      <c r="AQ3" s="8" t="s">
        <v>368</v>
      </c>
      <c r="AR3" s="8" t="s">
        <v>243</v>
      </c>
      <c r="AS3" s="8" t="s">
        <v>508</v>
      </c>
      <c r="AT3" s="8">
        <v>27034</v>
      </c>
      <c r="AU3" s="8" t="s">
        <v>519</v>
      </c>
      <c r="AV3" s="13">
        <v>26824</v>
      </c>
    </row>
    <row r="4" spans="1:48" x14ac:dyDescent="0.25">
      <c r="A4" t="s">
        <v>348</v>
      </c>
      <c r="B4" s="8">
        <v>26761</v>
      </c>
      <c r="C4" s="8" t="s">
        <v>358</v>
      </c>
      <c r="D4" s="8">
        <v>27091</v>
      </c>
      <c r="E4" s="16" t="s">
        <v>369</v>
      </c>
      <c r="F4" s="8" t="s">
        <v>88</v>
      </c>
      <c r="G4" s="8" t="s">
        <v>369</v>
      </c>
      <c r="H4" s="8" t="s">
        <v>102</v>
      </c>
      <c r="I4" s="8" t="s">
        <v>369</v>
      </c>
      <c r="J4" s="8" t="s">
        <v>117</v>
      </c>
      <c r="K4" s="8" t="s">
        <v>369</v>
      </c>
      <c r="L4" s="8" t="s">
        <v>132</v>
      </c>
      <c r="M4" s="8" t="s">
        <v>386</v>
      </c>
      <c r="N4" s="8">
        <v>27484</v>
      </c>
      <c r="O4" s="8" t="s">
        <v>369</v>
      </c>
      <c r="P4" s="8" t="s">
        <v>146</v>
      </c>
      <c r="Q4" s="8" t="s">
        <v>396</v>
      </c>
      <c r="R4" s="8">
        <v>26857</v>
      </c>
      <c r="S4" s="8" t="s">
        <v>369</v>
      </c>
      <c r="T4" s="8" t="s">
        <v>162</v>
      </c>
      <c r="U4" s="8" t="s">
        <v>369</v>
      </c>
      <c r="V4" s="8" t="s">
        <v>177</v>
      </c>
      <c r="W4" s="8" t="s">
        <v>408</v>
      </c>
      <c r="X4" s="8">
        <v>26770</v>
      </c>
      <c r="Y4" s="8" t="s">
        <v>425</v>
      </c>
      <c r="Z4" s="8">
        <v>27619</v>
      </c>
      <c r="AA4" s="8" t="s">
        <v>440</v>
      </c>
      <c r="AB4" s="8">
        <v>27436</v>
      </c>
      <c r="AC4" s="8" t="s">
        <v>369</v>
      </c>
      <c r="AD4" s="8" t="s">
        <v>193</v>
      </c>
      <c r="AE4" s="8" t="s">
        <v>457</v>
      </c>
      <c r="AF4" s="8">
        <v>27664</v>
      </c>
      <c r="AG4" s="8" t="s">
        <v>467</v>
      </c>
      <c r="AH4" s="8">
        <v>27550</v>
      </c>
      <c r="AI4" s="8" t="s">
        <v>370</v>
      </c>
      <c r="AJ4" s="8" t="s">
        <v>213</v>
      </c>
      <c r="AK4" s="8" t="s">
        <v>488</v>
      </c>
      <c r="AL4" s="8">
        <v>27559</v>
      </c>
      <c r="AM4" s="8" t="s">
        <v>500</v>
      </c>
      <c r="AN4" s="8">
        <v>27643</v>
      </c>
      <c r="AO4" s="8" t="s">
        <v>369</v>
      </c>
      <c r="AP4" s="8" t="s">
        <v>229</v>
      </c>
      <c r="AQ4" s="8" t="s">
        <v>369</v>
      </c>
      <c r="AR4" s="8" t="s">
        <v>244</v>
      </c>
      <c r="AS4" s="8" t="s">
        <v>509</v>
      </c>
      <c r="AT4" s="8">
        <v>27028</v>
      </c>
      <c r="AU4" s="8" t="s">
        <v>520</v>
      </c>
      <c r="AV4" s="13">
        <v>26812</v>
      </c>
    </row>
    <row r="5" spans="1:48" x14ac:dyDescent="0.25">
      <c r="A5" t="s">
        <v>349</v>
      </c>
      <c r="B5" s="8">
        <v>26752</v>
      </c>
      <c r="C5" s="8" t="s">
        <v>359</v>
      </c>
      <c r="D5" s="8">
        <v>27094</v>
      </c>
      <c r="E5" s="16" t="s">
        <v>370</v>
      </c>
      <c r="F5" s="8" t="s">
        <v>89</v>
      </c>
      <c r="G5" s="8" t="s">
        <v>370</v>
      </c>
      <c r="H5" s="8" t="s">
        <v>103</v>
      </c>
      <c r="I5" s="8" t="s">
        <v>370</v>
      </c>
      <c r="J5" s="8" t="s">
        <v>118</v>
      </c>
      <c r="K5" s="8" t="s">
        <v>370</v>
      </c>
      <c r="L5" s="8" t="s">
        <v>133</v>
      </c>
      <c r="M5" s="8" t="s">
        <v>387</v>
      </c>
      <c r="N5" s="8">
        <v>27475</v>
      </c>
      <c r="O5" s="8" t="s">
        <v>370</v>
      </c>
      <c r="P5" s="8" t="s">
        <v>147</v>
      </c>
      <c r="Q5" s="8" t="s">
        <v>397</v>
      </c>
      <c r="R5" s="8">
        <v>26833</v>
      </c>
      <c r="S5" s="8" t="s">
        <v>370</v>
      </c>
      <c r="T5" s="8" t="s">
        <v>163</v>
      </c>
      <c r="U5" s="8" t="s">
        <v>370</v>
      </c>
      <c r="V5" s="8" t="s">
        <v>178</v>
      </c>
      <c r="W5" s="8" t="s">
        <v>409</v>
      </c>
      <c r="X5" s="8">
        <v>26776</v>
      </c>
      <c r="Y5" s="8" t="s">
        <v>426</v>
      </c>
      <c r="Z5" s="8">
        <v>27607</v>
      </c>
      <c r="AA5" s="8" t="s">
        <v>441</v>
      </c>
      <c r="AB5" s="8">
        <v>27439</v>
      </c>
      <c r="AC5" s="8" t="s">
        <v>371</v>
      </c>
      <c r="AD5" s="8" t="s">
        <v>194</v>
      </c>
      <c r="AE5" s="8" t="s">
        <v>460</v>
      </c>
      <c r="AF5" s="8">
        <v>27679</v>
      </c>
      <c r="AG5" s="8" t="s">
        <v>464</v>
      </c>
      <c r="AH5" s="8">
        <v>27496</v>
      </c>
      <c r="AI5" s="8" t="s">
        <v>371</v>
      </c>
      <c r="AJ5" s="8" t="s">
        <v>214</v>
      </c>
      <c r="AK5" s="8" t="s">
        <v>491</v>
      </c>
      <c r="AL5" s="8">
        <v>27565</v>
      </c>
      <c r="AM5" s="8" t="s">
        <v>503</v>
      </c>
      <c r="AN5" s="8">
        <v>27652</v>
      </c>
      <c r="AO5" s="8" t="s">
        <v>370</v>
      </c>
      <c r="AP5" s="8" t="s">
        <v>230</v>
      </c>
      <c r="AQ5" s="8" t="s">
        <v>370</v>
      </c>
      <c r="AR5" s="8" t="s">
        <v>245</v>
      </c>
      <c r="AS5" s="8" t="s">
        <v>510</v>
      </c>
      <c r="AT5" s="8">
        <v>27025</v>
      </c>
      <c r="AU5" s="8" t="s">
        <v>521</v>
      </c>
      <c r="AV5" s="13">
        <v>26809</v>
      </c>
    </row>
    <row r="6" spans="1:48" x14ac:dyDescent="0.25">
      <c r="A6" t="s">
        <v>350</v>
      </c>
      <c r="B6" s="8">
        <v>26755</v>
      </c>
      <c r="C6" s="8" t="s">
        <v>360</v>
      </c>
      <c r="D6" s="8">
        <v>27103</v>
      </c>
      <c r="E6" s="16" t="s">
        <v>371</v>
      </c>
      <c r="F6" s="8" t="s">
        <v>90</v>
      </c>
      <c r="G6" s="8" t="s">
        <v>371</v>
      </c>
      <c r="H6" s="8" t="s">
        <v>104</v>
      </c>
      <c r="I6" s="8" t="s">
        <v>371</v>
      </c>
      <c r="J6" s="8" t="s">
        <v>119</v>
      </c>
      <c r="K6" s="8" t="s">
        <v>371</v>
      </c>
      <c r="L6" s="8" t="s">
        <v>134</v>
      </c>
      <c r="M6" s="8" t="s">
        <v>388</v>
      </c>
      <c r="N6" s="8">
        <v>27472</v>
      </c>
      <c r="O6" s="8" t="s">
        <v>371</v>
      </c>
      <c r="P6" s="8" t="s">
        <v>148</v>
      </c>
      <c r="Q6" s="8" t="s">
        <v>398</v>
      </c>
      <c r="R6" s="8">
        <v>26860</v>
      </c>
      <c r="S6" s="8" t="s">
        <v>371</v>
      </c>
      <c r="T6" s="8" t="s">
        <v>164</v>
      </c>
      <c r="U6" s="8" t="s">
        <v>371</v>
      </c>
      <c r="V6" s="8" t="s">
        <v>179</v>
      </c>
      <c r="W6" s="8" t="s">
        <v>410</v>
      </c>
      <c r="X6" s="8">
        <v>26787</v>
      </c>
      <c r="Y6" s="8" t="s">
        <v>427</v>
      </c>
      <c r="Z6" s="8">
        <v>27631</v>
      </c>
      <c r="AA6" s="8" t="s">
        <v>442</v>
      </c>
      <c r="AB6" s="8">
        <v>27442</v>
      </c>
      <c r="AC6" s="8" t="s">
        <v>372</v>
      </c>
      <c r="AD6" s="8" t="s">
        <v>195</v>
      </c>
      <c r="AE6" s="8" t="s">
        <v>461</v>
      </c>
      <c r="AF6" s="8">
        <v>27682</v>
      </c>
      <c r="AG6" s="8" t="s">
        <v>468</v>
      </c>
      <c r="AH6" s="8">
        <v>27544</v>
      </c>
      <c r="AI6" s="8" t="s">
        <v>373</v>
      </c>
      <c r="AJ6" s="8" t="s">
        <v>215</v>
      </c>
      <c r="AK6" s="8" t="s">
        <v>492</v>
      </c>
      <c r="AL6" s="8">
        <v>27562</v>
      </c>
      <c r="AM6" s="8" t="s">
        <v>504</v>
      </c>
      <c r="AN6" s="8">
        <v>27655</v>
      </c>
      <c r="AO6" s="8" t="s">
        <v>371</v>
      </c>
      <c r="AP6" s="8" t="s">
        <v>231</v>
      </c>
      <c r="AQ6" s="8" t="s">
        <v>371</v>
      </c>
      <c r="AR6" s="8" t="s">
        <v>246</v>
      </c>
      <c r="AS6" s="8" t="s">
        <v>511</v>
      </c>
      <c r="AT6" s="8">
        <v>27031</v>
      </c>
      <c r="AU6" s="8" t="s">
        <v>522</v>
      </c>
      <c r="AV6" s="13">
        <v>26815</v>
      </c>
    </row>
    <row r="7" spans="1:48" x14ac:dyDescent="0.25">
      <c r="A7" t="s">
        <v>351</v>
      </c>
      <c r="B7" s="8">
        <v>26737</v>
      </c>
      <c r="C7" s="8" t="s">
        <v>361</v>
      </c>
      <c r="D7" s="8">
        <v>27097</v>
      </c>
      <c r="E7" s="16" t="s">
        <v>372</v>
      </c>
      <c r="F7" s="8" t="s">
        <v>91</v>
      </c>
      <c r="G7" s="8" t="s">
        <v>372</v>
      </c>
      <c r="H7" s="8" t="s">
        <v>105</v>
      </c>
      <c r="I7" s="8" t="s">
        <v>372</v>
      </c>
      <c r="J7" s="8" t="s">
        <v>120</v>
      </c>
      <c r="K7" s="8" t="s">
        <v>372</v>
      </c>
      <c r="L7" s="8" t="s">
        <v>135</v>
      </c>
      <c r="M7" s="8" t="s">
        <v>389</v>
      </c>
      <c r="N7" s="8">
        <v>27490</v>
      </c>
      <c r="O7" s="8" t="s">
        <v>372</v>
      </c>
      <c r="P7" s="8" t="s">
        <v>149</v>
      </c>
      <c r="Q7" s="8" t="s">
        <v>399</v>
      </c>
      <c r="R7" s="8">
        <v>26866</v>
      </c>
      <c r="S7" s="8" t="s">
        <v>372</v>
      </c>
      <c r="T7" s="8" t="s">
        <v>165</v>
      </c>
      <c r="U7" s="8" t="s">
        <v>372</v>
      </c>
      <c r="V7" s="8" t="s">
        <v>180</v>
      </c>
      <c r="W7" s="8" t="s">
        <v>411</v>
      </c>
      <c r="X7" s="8">
        <v>26782</v>
      </c>
      <c r="Y7" s="8" t="s">
        <v>428</v>
      </c>
      <c r="Z7" s="8">
        <v>27628</v>
      </c>
      <c r="AA7" s="8" t="s">
        <v>443</v>
      </c>
      <c r="AB7" s="8">
        <v>27445</v>
      </c>
      <c r="AC7" s="8" t="s">
        <v>373</v>
      </c>
      <c r="AD7" s="8" t="s">
        <v>196</v>
      </c>
      <c r="AE7" s="8" t="s">
        <v>462</v>
      </c>
      <c r="AF7" s="8">
        <v>27670</v>
      </c>
      <c r="AG7" s="8" t="s">
        <v>469</v>
      </c>
      <c r="AH7" s="8">
        <v>27511</v>
      </c>
      <c r="AI7" s="8" t="s">
        <v>376</v>
      </c>
      <c r="AJ7" s="8" t="s">
        <v>216</v>
      </c>
      <c r="AK7" s="8" t="s">
        <v>493</v>
      </c>
      <c r="AL7" s="8">
        <v>27571</v>
      </c>
      <c r="AM7" s="8" t="s">
        <v>505</v>
      </c>
      <c r="AN7" s="8">
        <v>27646</v>
      </c>
      <c r="AO7" s="8" t="s">
        <v>373</v>
      </c>
      <c r="AP7" s="8" t="s">
        <v>232</v>
      </c>
      <c r="AQ7" s="8" t="s">
        <v>372</v>
      </c>
      <c r="AR7" s="8" t="s">
        <v>247</v>
      </c>
      <c r="AS7" s="8" t="s">
        <v>512</v>
      </c>
      <c r="AT7" s="8">
        <v>27016</v>
      </c>
      <c r="AU7" s="8" t="s">
        <v>523</v>
      </c>
      <c r="AV7" s="13">
        <v>26821</v>
      </c>
    </row>
    <row r="8" spans="1:48" x14ac:dyDescent="0.25">
      <c r="A8" t="s">
        <v>352</v>
      </c>
      <c r="B8" s="8">
        <v>26758</v>
      </c>
      <c r="C8" s="8" t="s">
        <v>362</v>
      </c>
      <c r="D8" s="8">
        <v>27100</v>
      </c>
      <c r="E8" s="16" t="s">
        <v>373</v>
      </c>
      <c r="F8" s="8" t="s">
        <v>92</v>
      </c>
      <c r="G8" s="8" t="s">
        <v>374</v>
      </c>
      <c r="H8" s="8" t="s">
        <v>106</v>
      </c>
      <c r="I8" s="8" t="s">
        <v>373</v>
      </c>
      <c r="J8" s="8" t="s">
        <v>121</v>
      </c>
      <c r="K8" s="8" t="s">
        <v>373</v>
      </c>
      <c r="L8" s="8" t="s">
        <v>136</v>
      </c>
      <c r="M8" s="8" t="s">
        <v>390</v>
      </c>
      <c r="N8" s="8">
        <v>27487</v>
      </c>
      <c r="O8" s="8" t="s">
        <v>373</v>
      </c>
      <c r="P8" s="8" t="s">
        <v>150</v>
      </c>
      <c r="Q8" s="8" t="s">
        <v>400</v>
      </c>
      <c r="R8" s="8">
        <v>26863</v>
      </c>
      <c r="S8" s="8" t="s">
        <v>373</v>
      </c>
      <c r="T8" s="8" t="s">
        <v>166</v>
      </c>
      <c r="U8" s="8" t="s">
        <v>373</v>
      </c>
      <c r="V8" s="8" t="s">
        <v>181</v>
      </c>
      <c r="W8" s="8" t="s">
        <v>412</v>
      </c>
      <c r="X8" s="8">
        <v>26791</v>
      </c>
      <c r="Y8" s="8" t="s">
        <v>429</v>
      </c>
      <c r="Z8" s="8">
        <v>27610</v>
      </c>
      <c r="AA8" s="8" t="s">
        <v>444</v>
      </c>
      <c r="AB8" s="8">
        <v>27448</v>
      </c>
      <c r="AC8" s="8" t="s">
        <v>377</v>
      </c>
      <c r="AD8" s="8" t="s">
        <v>197</v>
      </c>
      <c r="AE8" s="8" t="s">
        <v>463</v>
      </c>
      <c r="AF8" s="8">
        <v>27676</v>
      </c>
      <c r="AG8" s="8" t="s">
        <v>470</v>
      </c>
      <c r="AH8" s="8">
        <v>27514</v>
      </c>
      <c r="AI8" s="8" t="s">
        <v>377</v>
      </c>
      <c r="AJ8" s="8" t="s">
        <v>217</v>
      </c>
      <c r="AK8" s="8" t="s">
        <v>494</v>
      </c>
      <c r="AL8" s="8">
        <v>27580</v>
      </c>
      <c r="AM8" s="8" t="s">
        <v>506</v>
      </c>
      <c r="AN8" s="8">
        <v>27649</v>
      </c>
      <c r="AO8" s="8" t="s">
        <v>374</v>
      </c>
      <c r="AP8" s="8" t="s">
        <v>233</v>
      </c>
      <c r="AQ8" s="8" t="s">
        <v>373</v>
      </c>
      <c r="AR8" s="8" t="s">
        <v>248</v>
      </c>
      <c r="AS8" s="8" t="s">
        <v>513</v>
      </c>
      <c r="AT8" s="8">
        <v>27019</v>
      </c>
      <c r="AU8" s="8" t="s">
        <v>524</v>
      </c>
      <c r="AV8" s="13">
        <v>26818</v>
      </c>
    </row>
    <row r="9" spans="1:48" x14ac:dyDescent="0.25">
      <c r="A9" t="s">
        <v>353</v>
      </c>
      <c r="B9" s="8">
        <v>26746</v>
      </c>
      <c r="C9" s="8" t="s">
        <v>363</v>
      </c>
      <c r="D9" s="8">
        <v>27109</v>
      </c>
      <c r="E9" s="16" t="s">
        <v>374</v>
      </c>
      <c r="F9" s="8" t="s">
        <v>93</v>
      </c>
      <c r="G9" s="8" t="s">
        <v>375</v>
      </c>
      <c r="H9" s="8" t="s">
        <v>107</v>
      </c>
      <c r="I9" s="8" t="s">
        <v>374</v>
      </c>
      <c r="J9" s="8" t="s">
        <v>122</v>
      </c>
      <c r="K9" s="8" t="s">
        <v>374</v>
      </c>
      <c r="L9" s="8" t="s">
        <v>137</v>
      </c>
      <c r="M9" s="8" t="s">
        <v>391</v>
      </c>
      <c r="N9" s="8">
        <v>27481</v>
      </c>
      <c r="O9" s="8" t="s">
        <v>374</v>
      </c>
      <c r="P9" s="8" t="s">
        <v>151</v>
      </c>
      <c r="Q9" s="8" t="s">
        <v>401</v>
      </c>
      <c r="R9" s="8">
        <v>26851</v>
      </c>
      <c r="S9" s="8" t="s">
        <v>374</v>
      </c>
      <c r="T9" s="8" t="s">
        <v>167</v>
      </c>
      <c r="U9" s="8" t="s">
        <v>374</v>
      </c>
      <c r="V9" s="8" t="s">
        <v>182</v>
      </c>
      <c r="W9" s="8" t="s">
        <v>413</v>
      </c>
      <c r="X9" s="8">
        <v>26767</v>
      </c>
      <c r="Y9" s="8" t="s">
        <v>430</v>
      </c>
      <c r="Z9" s="8">
        <v>27598</v>
      </c>
      <c r="AA9" s="8" t="s">
        <v>445</v>
      </c>
      <c r="AB9" s="8">
        <v>27451</v>
      </c>
      <c r="AC9" s="8" t="s">
        <v>378</v>
      </c>
      <c r="AD9" s="8" t="s">
        <v>198</v>
      </c>
      <c r="AE9" s="8"/>
      <c r="AF9" s="8"/>
      <c r="AG9" s="8" t="s">
        <v>471</v>
      </c>
      <c r="AH9" s="8">
        <v>27517</v>
      </c>
      <c r="AI9" s="8" t="s">
        <v>378</v>
      </c>
      <c r="AJ9" s="8" t="s">
        <v>218</v>
      </c>
      <c r="AK9" s="8" t="s">
        <v>495</v>
      </c>
      <c r="AL9" s="8">
        <v>27574</v>
      </c>
      <c r="AM9" s="8"/>
      <c r="AN9" s="8"/>
      <c r="AO9" s="8" t="s">
        <v>375</v>
      </c>
      <c r="AP9" s="8" t="s">
        <v>234</v>
      </c>
      <c r="AQ9" s="8" t="s">
        <v>374</v>
      </c>
      <c r="AR9" s="8" t="s">
        <v>249</v>
      </c>
      <c r="AS9" s="8" t="s">
        <v>514</v>
      </c>
      <c r="AT9" s="8">
        <v>27010</v>
      </c>
      <c r="AU9" s="8" t="s">
        <v>525</v>
      </c>
      <c r="AV9" s="13">
        <v>26800</v>
      </c>
    </row>
    <row r="10" spans="1:48" x14ac:dyDescent="0.25">
      <c r="A10" t="s">
        <v>354</v>
      </c>
      <c r="B10" s="8">
        <v>26749</v>
      </c>
      <c r="C10" s="8" t="s">
        <v>364</v>
      </c>
      <c r="D10" s="8">
        <v>27112</v>
      </c>
      <c r="E10" s="16" t="s">
        <v>375</v>
      </c>
      <c r="F10" s="8" t="s">
        <v>94</v>
      </c>
      <c r="G10" s="8" t="s">
        <v>376</v>
      </c>
      <c r="H10" s="8" t="s">
        <v>108</v>
      </c>
      <c r="I10" s="8" t="s">
        <v>375</v>
      </c>
      <c r="J10" s="8" t="s">
        <v>123</v>
      </c>
      <c r="K10" s="8" t="s">
        <v>375</v>
      </c>
      <c r="L10" s="8" t="s">
        <v>138</v>
      </c>
      <c r="M10" s="8" t="s">
        <v>392</v>
      </c>
      <c r="N10" s="8">
        <v>27466</v>
      </c>
      <c r="O10" s="8" t="s">
        <v>375</v>
      </c>
      <c r="P10" s="8" t="s">
        <v>152</v>
      </c>
      <c r="Q10" s="8" t="s">
        <v>402</v>
      </c>
      <c r="R10" s="8">
        <v>26848</v>
      </c>
      <c r="S10" s="8" t="s">
        <v>375</v>
      </c>
      <c r="T10" s="8" t="s">
        <v>168</v>
      </c>
      <c r="U10" s="8" t="s">
        <v>375</v>
      </c>
      <c r="V10" s="8" t="s">
        <v>183</v>
      </c>
      <c r="W10" s="8" t="s">
        <v>414</v>
      </c>
      <c r="X10" s="8">
        <v>26764</v>
      </c>
      <c r="Y10" s="8" t="s">
        <v>431</v>
      </c>
      <c r="Z10" s="8">
        <v>27622</v>
      </c>
      <c r="AA10" s="8" t="s">
        <v>446</v>
      </c>
      <c r="AB10" s="8">
        <v>27454</v>
      </c>
      <c r="AC10" s="8" t="s">
        <v>379</v>
      </c>
      <c r="AD10" s="8" t="s">
        <v>199</v>
      </c>
      <c r="AE10" s="8"/>
      <c r="AF10" s="8"/>
      <c r="AG10" s="8" t="s">
        <v>472</v>
      </c>
      <c r="AH10" s="8">
        <v>27499</v>
      </c>
      <c r="AI10" s="8" t="s">
        <v>379</v>
      </c>
      <c r="AJ10" s="8" t="s">
        <v>219</v>
      </c>
      <c r="AK10" s="8" t="s">
        <v>496</v>
      </c>
      <c r="AL10" s="8">
        <v>27586</v>
      </c>
      <c r="AM10" s="8"/>
      <c r="AN10" s="8"/>
      <c r="AO10" s="8" t="s">
        <v>376</v>
      </c>
      <c r="AP10" s="8" t="s">
        <v>235</v>
      </c>
      <c r="AQ10" s="8" t="s">
        <v>375</v>
      </c>
      <c r="AR10" s="8" t="s">
        <v>250</v>
      </c>
      <c r="AS10" s="8" t="s">
        <v>515</v>
      </c>
      <c r="AT10" s="8">
        <v>27022</v>
      </c>
      <c r="AU10" s="8" t="s">
        <v>526</v>
      </c>
      <c r="AV10" s="13">
        <v>26794</v>
      </c>
    </row>
    <row r="11" spans="1:48" x14ac:dyDescent="0.25">
      <c r="A11" t="s">
        <v>355</v>
      </c>
      <c r="B11" s="8">
        <v>26734</v>
      </c>
      <c r="C11" s="8" t="s">
        <v>365</v>
      </c>
      <c r="D11" s="8">
        <v>27088</v>
      </c>
      <c r="E11" s="16" t="s">
        <v>376</v>
      </c>
      <c r="F11" s="8" t="s">
        <v>95</v>
      </c>
      <c r="G11" s="8" t="s">
        <v>378</v>
      </c>
      <c r="H11" s="8" t="s">
        <v>109</v>
      </c>
      <c r="I11" s="8" t="s">
        <v>376</v>
      </c>
      <c r="J11" s="8" t="s">
        <v>124</v>
      </c>
      <c r="K11" s="8" t="s">
        <v>376</v>
      </c>
      <c r="L11" s="8" t="s">
        <v>139</v>
      </c>
      <c r="M11" s="8" t="s">
        <v>393</v>
      </c>
      <c r="N11" s="8">
        <v>27469</v>
      </c>
      <c r="O11" s="8" t="s">
        <v>376</v>
      </c>
      <c r="P11" s="8" t="s">
        <v>153</v>
      </c>
      <c r="Q11" s="8" t="s">
        <v>390</v>
      </c>
      <c r="R11" s="8">
        <v>26836</v>
      </c>
      <c r="S11" s="8" t="s">
        <v>376</v>
      </c>
      <c r="T11" s="8" t="s">
        <v>169</v>
      </c>
      <c r="U11" s="8" t="s">
        <v>376</v>
      </c>
      <c r="V11" s="8" t="s">
        <v>184</v>
      </c>
      <c r="W11" s="8" t="s">
        <v>415</v>
      </c>
      <c r="X11" s="8">
        <v>26773</v>
      </c>
      <c r="Y11" s="8" t="s">
        <v>432</v>
      </c>
      <c r="Z11" s="8">
        <v>27640</v>
      </c>
      <c r="AA11" s="8" t="s">
        <v>447</v>
      </c>
      <c r="AB11" s="8">
        <v>27457</v>
      </c>
      <c r="AC11" s="8" t="s">
        <v>380</v>
      </c>
      <c r="AD11" s="8" t="s">
        <v>200</v>
      </c>
      <c r="AE11" s="8"/>
      <c r="AF11" s="8"/>
      <c r="AG11" s="8" t="s">
        <v>473</v>
      </c>
      <c r="AH11" s="8">
        <v>27529</v>
      </c>
      <c r="AI11" s="8" t="s">
        <v>380</v>
      </c>
      <c r="AJ11" s="8" t="s">
        <v>220</v>
      </c>
      <c r="AK11" s="8" t="s">
        <v>497</v>
      </c>
      <c r="AL11" s="8">
        <v>27583</v>
      </c>
      <c r="AM11" s="8"/>
      <c r="AN11" s="8"/>
      <c r="AO11" s="8" t="s">
        <v>377</v>
      </c>
      <c r="AP11" s="8" t="s">
        <v>236</v>
      </c>
      <c r="AQ11" s="8" t="s">
        <v>376</v>
      </c>
      <c r="AR11" s="8" t="s">
        <v>251</v>
      </c>
      <c r="AS11" s="8" t="s">
        <v>516</v>
      </c>
      <c r="AT11" s="8">
        <v>27040</v>
      </c>
      <c r="AU11" s="8" t="s">
        <v>527</v>
      </c>
      <c r="AV11" s="13">
        <v>26803</v>
      </c>
    </row>
    <row r="12" spans="1:48" x14ac:dyDescent="0.25">
      <c r="A12" s="2"/>
      <c r="B12" s="8"/>
      <c r="C12" s="8" t="s">
        <v>366</v>
      </c>
      <c r="D12" s="8">
        <v>27118</v>
      </c>
      <c r="E12" s="16" t="s">
        <v>377</v>
      </c>
      <c r="F12" s="8" t="s">
        <v>96</v>
      </c>
      <c r="G12" s="8" t="s">
        <v>379</v>
      </c>
      <c r="H12" s="8" t="s">
        <v>110</v>
      </c>
      <c r="I12" s="8" t="s">
        <v>377</v>
      </c>
      <c r="J12" s="8" t="s">
        <v>125</v>
      </c>
      <c r="K12" s="8" t="s">
        <v>377</v>
      </c>
      <c r="L12" s="8" t="s">
        <v>140</v>
      </c>
      <c r="M12" s="8"/>
      <c r="N12" s="8"/>
      <c r="O12" s="8" t="s">
        <v>377</v>
      </c>
      <c r="P12" s="8" t="s">
        <v>154</v>
      </c>
      <c r="Q12" s="8" t="s">
        <v>403</v>
      </c>
      <c r="R12" s="8">
        <v>26842</v>
      </c>
      <c r="S12" s="8" t="s">
        <v>377</v>
      </c>
      <c r="T12" s="8" t="s">
        <v>170</v>
      </c>
      <c r="U12" s="8" t="s">
        <v>377</v>
      </c>
      <c r="V12" s="8" t="s">
        <v>185</v>
      </c>
      <c r="W12" s="8" t="s">
        <v>416</v>
      </c>
      <c r="X12" s="8">
        <v>26785</v>
      </c>
      <c r="Y12" s="8" t="s">
        <v>433</v>
      </c>
      <c r="Z12" s="8">
        <v>27616</v>
      </c>
      <c r="AA12" s="8"/>
      <c r="AB12" s="8"/>
      <c r="AC12" s="8" t="s">
        <v>381</v>
      </c>
      <c r="AD12" s="8" t="s">
        <v>201</v>
      </c>
      <c r="AE12" s="8"/>
      <c r="AF12" s="8"/>
      <c r="AG12" s="8" t="s">
        <v>474</v>
      </c>
      <c r="AH12" s="8">
        <v>27526</v>
      </c>
      <c r="AI12" s="8" t="s">
        <v>381</v>
      </c>
      <c r="AJ12" s="8" t="s">
        <v>221</v>
      </c>
      <c r="AK12" s="8" t="s">
        <v>498</v>
      </c>
      <c r="AL12" s="8">
        <v>27577</v>
      </c>
      <c r="AM12" s="8"/>
      <c r="AN12" s="8"/>
      <c r="AO12" s="8" t="s">
        <v>378</v>
      </c>
      <c r="AP12" s="8" t="s">
        <v>237</v>
      </c>
      <c r="AQ12" s="8" t="s">
        <v>377</v>
      </c>
      <c r="AR12" s="8" t="s">
        <v>252</v>
      </c>
      <c r="AS12" s="8" t="s">
        <v>517</v>
      </c>
      <c r="AT12" s="8">
        <v>27013</v>
      </c>
      <c r="AU12" s="8" t="s">
        <v>528</v>
      </c>
      <c r="AV12" s="13">
        <v>26806</v>
      </c>
    </row>
    <row r="13" spans="1:48" x14ac:dyDescent="0.25">
      <c r="A13" s="2"/>
      <c r="B13" s="8"/>
      <c r="C13" s="8"/>
      <c r="D13" s="8"/>
      <c r="E13" s="16" t="s">
        <v>378</v>
      </c>
      <c r="F13" s="8" t="s">
        <v>97</v>
      </c>
      <c r="G13" s="8" t="s">
        <v>380</v>
      </c>
      <c r="H13" s="8" t="s">
        <v>111</v>
      </c>
      <c r="I13" s="8" t="s">
        <v>378</v>
      </c>
      <c r="J13" s="8" t="s">
        <v>126</v>
      </c>
      <c r="K13" s="8" t="s">
        <v>378</v>
      </c>
      <c r="L13" s="8" t="s">
        <v>141</v>
      </c>
      <c r="M13" s="8"/>
      <c r="N13" s="8"/>
      <c r="O13" s="8" t="s">
        <v>378</v>
      </c>
      <c r="P13" s="8" t="s">
        <v>155</v>
      </c>
      <c r="Q13" s="8" t="s">
        <v>404</v>
      </c>
      <c r="R13" s="8">
        <v>26845</v>
      </c>
      <c r="S13" s="8" t="s">
        <v>378</v>
      </c>
      <c r="T13" s="8" t="s">
        <v>171</v>
      </c>
      <c r="U13" s="8" t="s">
        <v>378</v>
      </c>
      <c r="V13" s="8" t="s">
        <v>186</v>
      </c>
      <c r="W13" s="8"/>
      <c r="X13" s="8"/>
      <c r="Y13" s="8" t="s">
        <v>434</v>
      </c>
      <c r="Z13" s="8">
        <v>27613</v>
      </c>
      <c r="AA13" s="8"/>
      <c r="AB13" s="8"/>
      <c r="AC13" s="8" t="s">
        <v>448</v>
      </c>
      <c r="AD13" s="8" t="s">
        <v>202</v>
      </c>
      <c r="AE13" s="8"/>
      <c r="AF13" s="8"/>
      <c r="AG13" s="8" t="s">
        <v>475</v>
      </c>
      <c r="AH13" s="8">
        <v>27535</v>
      </c>
      <c r="AI13" s="8" t="s">
        <v>382</v>
      </c>
      <c r="AJ13" s="8" t="s">
        <v>222</v>
      </c>
      <c r="AK13" s="8" t="s">
        <v>499</v>
      </c>
      <c r="AL13" s="8">
        <v>27589</v>
      </c>
      <c r="AM13" s="8"/>
      <c r="AN13" s="8"/>
      <c r="AO13" s="8" t="s">
        <v>379</v>
      </c>
      <c r="AP13" s="8" t="s">
        <v>238</v>
      </c>
      <c r="AQ13" s="8" t="s">
        <v>378</v>
      </c>
      <c r="AR13" s="8" t="s">
        <v>253</v>
      </c>
      <c r="AS13" s="8"/>
      <c r="AT13" s="8"/>
      <c r="AU13" s="8" t="s">
        <v>529</v>
      </c>
      <c r="AV13" s="13">
        <v>26827</v>
      </c>
    </row>
    <row r="14" spans="1:48" x14ac:dyDescent="0.25">
      <c r="A14" s="2"/>
      <c r="B14" s="8"/>
      <c r="C14" s="8"/>
      <c r="D14" s="8"/>
      <c r="E14" s="16" t="s">
        <v>379</v>
      </c>
      <c r="F14" s="8" t="s">
        <v>98</v>
      </c>
      <c r="G14" s="8" t="s">
        <v>381</v>
      </c>
      <c r="H14" s="8" t="s">
        <v>112</v>
      </c>
      <c r="I14" s="8" t="s">
        <v>379</v>
      </c>
      <c r="J14" s="8" t="s">
        <v>127</v>
      </c>
      <c r="K14" s="8" t="s">
        <v>379</v>
      </c>
      <c r="L14" s="8" t="s">
        <v>142</v>
      </c>
      <c r="M14" s="8"/>
      <c r="N14" s="8"/>
      <c r="O14" s="8" t="s">
        <v>379</v>
      </c>
      <c r="P14" s="8" t="s">
        <v>156</v>
      </c>
      <c r="Q14" s="8" t="s">
        <v>405</v>
      </c>
      <c r="R14" s="8">
        <v>26854</v>
      </c>
      <c r="S14" s="8" t="s">
        <v>379</v>
      </c>
      <c r="T14" s="8" t="s">
        <v>172</v>
      </c>
      <c r="U14" s="8" t="s">
        <v>379</v>
      </c>
      <c r="V14" s="8" t="s">
        <v>187</v>
      </c>
      <c r="W14" s="8"/>
      <c r="X14" s="8"/>
      <c r="Y14" s="8" t="s">
        <v>435</v>
      </c>
      <c r="Z14" s="8">
        <v>27634</v>
      </c>
      <c r="AA14" s="8"/>
      <c r="AB14" s="8"/>
      <c r="AC14" s="8" t="s">
        <v>449</v>
      </c>
      <c r="AD14" s="8" t="s">
        <v>203</v>
      </c>
      <c r="AE14" s="8"/>
      <c r="AF14" s="8"/>
      <c r="AG14" s="8" t="s">
        <v>476</v>
      </c>
      <c r="AH14" s="8">
        <v>27532</v>
      </c>
      <c r="AI14" s="8" t="s">
        <v>448</v>
      </c>
      <c r="AJ14" s="8" t="s">
        <v>223</v>
      </c>
      <c r="AK14" s="8"/>
      <c r="AL14" s="8"/>
      <c r="AM14" s="8"/>
      <c r="AN14" s="8"/>
      <c r="AO14" s="8" t="s">
        <v>380</v>
      </c>
      <c r="AP14" s="8" t="s">
        <v>239</v>
      </c>
      <c r="AQ14" s="8" t="s">
        <v>379</v>
      </c>
      <c r="AR14" s="8" t="s">
        <v>254</v>
      </c>
      <c r="AS14" s="8"/>
      <c r="AT14" s="8"/>
      <c r="AU14" s="8"/>
      <c r="AV14" s="13"/>
    </row>
    <row r="15" spans="1:48" x14ac:dyDescent="0.25">
      <c r="A15" s="2"/>
      <c r="B15" s="8"/>
      <c r="C15" s="8"/>
      <c r="D15" s="8"/>
      <c r="E15" s="16" t="s">
        <v>380</v>
      </c>
      <c r="F15" s="8" t="s">
        <v>99</v>
      </c>
      <c r="G15" s="8" t="s">
        <v>382</v>
      </c>
      <c r="H15" s="8" t="s">
        <v>113</v>
      </c>
      <c r="I15" s="8" t="s">
        <v>380</v>
      </c>
      <c r="J15" s="8" t="s">
        <v>128</v>
      </c>
      <c r="K15" s="8" t="s">
        <v>380</v>
      </c>
      <c r="L15" s="8" t="s">
        <v>143</v>
      </c>
      <c r="M15" s="8"/>
      <c r="N15" s="8"/>
      <c r="O15" s="8" t="s">
        <v>380</v>
      </c>
      <c r="P15" s="8" t="s">
        <v>157</v>
      </c>
      <c r="Q15" s="8"/>
      <c r="R15" s="8"/>
      <c r="S15" s="8" t="s">
        <v>380</v>
      </c>
      <c r="T15" s="8" t="s">
        <v>173</v>
      </c>
      <c r="U15" s="8" t="s">
        <v>380</v>
      </c>
      <c r="V15" s="8" t="s">
        <v>188</v>
      </c>
      <c r="W15" s="8"/>
      <c r="X15" s="8"/>
      <c r="Y15" s="8" t="s">
        <v>422</v>
      </c>
      <c r="Z15" s="8">
        <v>27595</v>
      </c>
      <c r="AA15" s="8"/>
      <c r="AB15" s="8"/>
      <c r="AC15" s="8" t="s">
        <v>450</v>
      </c>
      <c r="AD15" s="8" t="s">
        <v>204</v>
      </c>
      <c r="AE15" s="8"/>
      <c r="AF15" s="8"/>
      <c r="AG15" s="8" t="s">
        <v>477</v>
      </c>
      <c r="AH15" s="8">
        <v>27553</v>
      </c>
      <c r="AI15" s="8" t="s">
        <v>485</v>
      </c>
      <c r="AJ15" s="8" t="s">
        <v>224</v>
      </c>
      <c r="AK15" s="8"/>
      <c r="AL15" s="8"/>
      <c r="AM15" s="8"/>
      <c r="AN15" s="8"/>
      <c r="AO15" s="8" t="s">
        <v>381</v>
      </c>
      <c r="AP15" s="8" t="s">
        <v>240</v>
      </c>
      <c r="AQ15" s="8" t="s">
        <v>380</v>
      </c>
      <c r="AR15" s="8" t="s">
        <v>255</v>
      </c>
      <c r="AS15" s="8"/>
      <c r="AT15" s="8"/>
      <c r="AU15" s="8"/>
      <c r="AV15" s="13"/>
    </row>
    <row r="16" spans="1:48" x14ac:dyDescent="0.25">
      <c r="A16" s="2"/>
      <c r="B16" s="8"/>
      <c r="C16" s="8"/>
      <c r="D16" s="8"/>
      <c r="E16" s="8"/>
      <c r="F16" s="8"/>
      <c r="G16" s="8" t="s">
        <v>383</v>
      </c>
      <c r="H16" s="8" t="s">
        <v>114</v>
      </c>
      <c r="I16" s="8" t="s">
        <v>381</v>
      </c>
      <c r="J16" s="8" t="s">
        <v>129</v>
      </c>
      <c r="K16" s="8"/>
      <c r="L16" s="8"/>
      <c r="M16" s="8"/>
      <c r="N16" s="8"/>
      <c r="O16" s="8" t="s">
        <v>381</v>
      </c>
      <c r="P16" s="8" t="s">
        <v>158</v>
      </c>
      <c r="Q16" s="8"/>
      <c r="R16" s="8"/>
      <c r="S16" s="8" t="s">
        <v>381</v>
      </c>
      <c r="T16" s="8" t="s">
        <v>174</v>
      </c>
      <c r="U16" s="8" t="s">
        <v>381</v>
      </c>
      <c r="V16" s="8" t="s">
        <v>189</v>
      </c>
      <c r="W16" s="8"/>
      <c r="X16" s="8"/>
      <c r="Y16" s="8" t="s">
        <v>436</v>
      </c>
      <c r="Z16" s="8">
        <v>27601</v>
      </c>
      <c r="AA16" s="8"/>
      <c r="AB16" s="8"/>
      <c r="AC16" s="8" t="s">
        <v>451</v>
      </c>
      <c r="AD16" s="8" t="s">
        <v>205</v>
      </c>
      <c r="AE16" s="8"/>
      <c r="AF16" s="8"/>
      <c r="AG16" s="8" t="s">
        <v>478</v>
      </c>
      <c r="AH16" s="8">
        <v>27547</v>
      </c>
      <c r="AI16" s="8" t="s">
        <v>486</v>
      </c>
      <c r="AJ16" s="8" t="s">
        <v>225</v>
      </c>
      <c r="AK16" s="8"/>
      <c r="AL16" s="8"/>
      <c r="AM16" s="8"/>
      <c r="AN16" s="8"/>
      <c r="AO16" s="8" t="s">
        <v>448</v>
      </c>
      <c r="AP16" s="8" t="s">
        <v>241</v>
      </c>
      <c r="AQ16" s="8" t="s">
        <v>381</v>
      </c>
      <c r="AR16" s="8" t="s">
        <v>256</v>
      </c>
      <c r="AS16" s="8"/>
      <c r="AT16" s="8"/>
      <c r="AU16" s="8"/>
      <c r="AV16" s="13"/>
    </row>
    <row r="17" spans="1:48" x14ac:dyDescent="0.25">
      <c r="A17" s="2"/>
      <c r="B17" s="8"/>
      <c r="C17" s="8"/>
      <c r="D17" s="8"/>
      <c r="E17" s="8"/>
      <c r="F17" s="8"/>
      <c r="G17" s="8"/>
      <c r="H17" s="8"/>
      <c r="I17" s="8"/>
      <c r="J17" s="8"/>
      <c r="K17" s="8"/>
      <c r="L17" s="8"/>
      <c r="M17" s="8"/>
      <c r="N17" s="8"/>
      <c r="O17" s="8" t="s">
        <v>382</v>
      </c>
      <c r="P17" s="8" t="s">
        <v>159</v>
      </c>
      <c r="Q17" s="8"/>
      <c r="R17" s="8"/>
      <c r="S17" s="8"/>
      <c r="T17" s="8"/>
      <c r="U17" s="8" t="s">
        <v>382</v>
      </c>
      <c r="V17" s="8" t="s">
        <v>190</v>
      </c>
      <c r="W17" s="8"/>
      <c r="X17" s="8"/>
      <c r="Y17" s="8" t="s">
        <v>437</v>
      </c>
      <c r="Z17" s="8">
        <v>27604</v>
      </c>
      <c r="AA17" s="8"/>
      <c r="AB17" s="8"/>
      <c r="AC17" s="8" t="s">
        <v>452</v>
      </c>
      <c r="AD17" s="8" t="s">
        <v>206</v>
      </c>
      <c r="AE17" s="8"/>
      <c r="AF17" s="8"/>
      <c r="AG17" s="8" t="s">
        <v>479</v>
      </c>
      <c r="AH17" s="8">
        <v>27541</v>
      </c>
      <c r="AI17" s="8" t="s">
        <v>487</v>
      </c>
      <c r="AJ17" s="8" t="s">
        <v>226</v>
      </c>
      <c r="AK17" s="8"/>
      <c r="AL17" s="8"/>
      <c r="AM17" s="8"/>
      <c r="AN17" s="8"/>
      <c r="AO17" s="8"/>
      <c r="AP17" s="8"/>
      <c r="AQ17" s="8"/>
      <c r="AR17" s="8"/>
      <c r="AS17" s="8"/>
      <c r="AT17" s="8"/>
      <c r="AU17" s="8"/>
      <c r="AV17" s="13"/>
    </row>
    <row r="18" spans="1:48" x14ac:dyDescent="0.25">
      <c r="A18" s="2"/>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t="s">
        <v>453</v>
      </c>
      <c r="AD18" s="8" t="s">
        <v>207</v>
      </c>
      <c r="AE18" s="8"/>
      <c r="AF18" s="8"/>
      <c r="AG18" s="8" t="s">
        <v>480</v>
      </c>
      <c r="AH18" s="8">
        <v>27556</v>
      </c>
      <c r="AI18" s="8"/>
      <c r="AJ18" s="8"/>
      <c r="AK18" s="8"/>
      <c r="AL18" s="8"/>
      <c r="AM18" s="8"/>
      <c r="AN18" s="8"/>
      <c r="AO18" s="8"/>
      <c r="AP18" s="8"/>
      <c r="AQ18" s="8"/>
      <c r="AR18" s="8"/>
      <c r="AS18" s="8"/>
      <c r="AT18" s="8"/>
      <c r="AU18" s="8"/>
      <c r="AV18" s="13"/>
    </row>
    <row r="19" spans="1:48" x14ac:dyDescent="0.25">
      <c r="A19" s="2"/>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t="s">
        <v>454</v>
      </c>
      <c r="AD19" s="8" t="s">
        <v>208</v>
      </c>
      <c r="AE19" s="8"/>
      <c r="AF19" s="8"/>
      <c r="AG19" s="8" t="s">
        <v>481</v>
      </c>
      <c r="AH19" s="8">
        <v>27538</v>
      </c>
      <c r="AI19" s="8"/>
      <c r="AJ19" s="8"/>
      <c r="AK19" s="8"/>
      <c r="AL19" s="8"/>
      <c r="AM19" s="8"/>
      <c r="AN19" s="8"/>
      <c r="AO19" s="8"/>
      <c r="AP19" s="8"/>
      <c r="AQ19" s="8"/>
      <c r="AR19" s="8"/>
      <c r="AS19" s="8"/>
      <c r="AT19" s="8"/>
      <c r="AU19" s="8"/>
      <c r="AV19" s="13"/>
    </row>
    <row r="20" spans="1:48" x14ac:dyDescent="0.25">
      <c r="A20" s="2"/>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t="s">
        <v>455</v>
      </c>
      <c r="AD20" s="8" t="s">
        <v>209</v>
      </c>
      <c r="AE20" s="8"/>
      <c r="AF20" s="8"/>
      <c r="AG20" s="8" t="s">
        <v>482</v>
      </c>
      <c r="AH20" s="8">
        <v>27523</v>
      </c>
      <c r="AI20" s="8"/>
      <c r="AJ20" s="8"/>
      <c r="AK20" s="8"/>
      <c r="AL20" s="8"/>
      <c r="AM20" s="8"/>
      <c r="AN20" s="8"/>
      <c r="AO20" s="8"/>
      <c r="AP20" s="8"/>
      <c r="AQ20" s="8"/>
      <c r="AR20" s="8"/>
      <c r="AS20" s="8"/>
      <c r="AT20" s="8"/>
      <c r="AU20" s="8"/>
      <c r="AV20" s="13"/>
    </row>
    <row r="21" spans="1:48" x14ac:dyDescent="0.25">
      <c r="A21" s="2"/>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t="s">
        <v>456</v>
      </c>
      <c r="AD21" s="8" t="s">
        <v>210</v>
      </c>
      <c r="AE21" s="8"/>
      <c r="AF21" s="8"/>
      <c r="AG21" s="8" t="s">
        <v>483</v>
      </c>
      <c r="AH21" s="8">
        <v>27520</v>
      </c>
      <c r="AI21" s="8"/>
      <c r="AJ21" s="8"/>
      <c r="AK21" s="8"/>
      <c r="AL21" s="8"/>
      <c r="AM21" s="8"/>
      <c r="AN21" s="8"/>
      <c r="AO21" s="8"/>
      <c r="AP21" s="8"/>
      <c r="AQ21" s="8"/>
      <c r="AR21" s="8"/>
      <c r="AS21" s="8"/>
      <c r="AT21" s="8"/>
      <c r="AU21" s="8"/>
      <c r="AV21" s="13"/>
    </row>
    <row r="22" spans="1:48" ht="15.75" thickBot="1" x14ac:dyDescent="0.3">
      <c r="A22" s="12"/>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t="s">
        <v>484</v>
      </c>
      <c r="AH22" s="14">
        <v>27505</v>
      </c>
      <c r="AI22" s="14"/>
      <c r="AJ22" s="14"/>
      <c r="AK22" s="14"/>
      <c r="AL22" s="14"/>
      <c r="AM22" s="14"/>
      <c r="AN22" s="14"/>
      <c r="AO22" s="14"/>
      <c r="AP22" s="14"/>
      <c r="AQ22" s="14"/>
      <c r="AR22" s="14"/>
      <c r="AS22" s="14"/>
      <c r="AT22" s="14"/>
      <c r="AU22" s="14"/>
      <c r="AV22" s="15"/>
    </row>
  </sheetData>
  <autoFilter ref="A1:AU22"/>
  <sortState ref="E3:E15">
    <sortCondition ref="E3:E1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53"/>
  <sheetViews>
    <sheetView workbookViewId="0"/>
  </sheetViews>
  <sheetFormatPr defaultRowHeight="15" x14ac:dyDescent="0.25"/>
  <cols>
    <col min="1" max="1" width="22.85546875" bestFit="1" customWidth="1"/>
  </cols>
  <sheetData>
    <row r="1" spans="1:2" ht="19.5" x14ac:dyDescent="0.25">
      <c r="A1" s="5" t="s">
        <v>32</v>
      </c>
      <c r="B1" s="11" t="s">
        <v>85</v>
      </c>
    </row>
    <row r="2" spans="1:2" x14ac:dyDescent="0.25">
      <c r="A2" s="3" t="s">
        <v>33</v>
      </c>
      <c r="B2" s="9">
        <v>1</v>
      </c>
    </row>
    <row r="3" spans="1:2" x14ac:dyDescent="0.25">
      <c r="A3" s="3" t="s">
        <v>34</v>
      </c>
      <c r="B3" s="9">
        <v>2</v>
      </c>
    </row>
    <row r="4" spans="1:2" x14ac:dyDescent="0.25">
      <c r="A4" s="3" t="s">
        <v>35</v>
      </c>
      <c r="B4" s="9">
        <v>3</v>
      </c>
    </row>
    <row r="5" spans="1:2" x14ac:dyDescent="0.25">
      <c r="A5" s="3" t="s">
        <v>36</v>
      </c>
      <c r="B5" s="9">
        <v>4</v>
      </c>
    </row>
    <row r="6" spans="1:2" x14ac:dyDescent="0.25">
      <c r="A6" s="3" t="s">
        <v>37</v>
      </c>
      <c r="B6" s="9">
        <v>5</v>
      </c>
    </row>
    <row r="7" spans="1:2" x14ac:dyDescent="0.25">
      <c r="A7" s="3" t="s">
        <v>38</v>
      </c>
      <c r="B7" s="9">
        <v>6</v>
      </c>
    </row>
    <row r="8" spans="1:2" x14ac:dyDescent="0.25">
      <c r="A8" s="3" t="s">
        <v>39</v>
      </c>
      <c r="B8" s="9">
        <v>7</v>
      </c>
    </row>
    <row r="9" spans="1:2" x14ac:dyDescent="0.25">
      <c r="A9" s="3" t="s">
        <v>40</v>
      </c>
      <c r="B9" s="9">
        <v>8</v>
      </c>
    </row>
    <row r="10" spans="1:2" x14ac:dyDescent="0.25">
      <c r="A10" s="3" t="s">
        <v>41</v>
      </c>
      <c r="B10" s="9">
        <v>9</v>
      </c>
    </row>
    <row r="11" spans="1:2" x14ac:dyDescent="0.25">
      <c r="A11" s="3" t="s">
        <v>42</v>
      </c>
      <c r="B11" s="9">
        <v>10</v>
      </c>
    </row>
    <row r="12" spans="1:2" x14ac:dyDescent="0.25">
      <c r="A12" s="3" t="s">
        <v>43</v>
      </c>
      <c r="B12" s="9">
        <v>11</v>
      </c>
    </row>
    <row r="13" spans="1:2" x14ac:dyDescent="0.25">
      <c r="A13" s="3" t="s">
        <v>44</v>
      </c>
      <c r="B13" s="9">
        <v>12</v>
      </c>
    </row>
    <row r="14" spans="1:2" x14ac:dyDescent="0.25">
      <c r="A14" s="3" t="s">
        <v>45</v>
      </c>
      <c r="B14" s="9">
        <v>13</v>
      </c>
    </row>
    <row r="15" spans="1:2" x14ac:dyDescent="0.25">
      <c r="A15" s="3" t="s">
        <v>46</v>
      </c>
      <c r="B15" s="9">
        <v>14</v>
      </c>
    </row>
    <row r="16" spans="1:2" x14ac:dyDescent="0.25">
      <c r="A16" s="3" t="s">
        <v>47</v>
      </c>
      <c r="B16" s="9">
        <v>15</v>
      </c>
    </row>
    <row r="17" spans="1:2" x14ac:dyDescent="0.25">
      <c r="A17" s="3" t="s">
        <v>48</v>
      </c>
      <c r="B17" s="9">
        <v>16</v>
      </c>
    </row>
    <row r="18" spans="1:2" x14ac:dyDescent="0.25">
      <c r="A18" s="3" t="s">
        <v>61</v>
      </c>
      <c r="B18" s="9">
        <v>29</v>
      </c>
    </row>
    <row r="19" spans="1:2" x14ac:dyDescent="0.25">
      <c r="A19" s="3" t="s">
        <v>49</v>
      </c>
      <c r="B19" s="9">
        <v>17</v>
      </c>
    </row>
    <row r="20" spans="1:2" x14ac:dyDescent="0.25">
      <c r="A20" s="3" t="s">
        <v>50</v>
      </c>
      <c r="B20" s="9">
        <v>18</v>
      </c>
    </row>
    <row r="21" spans="1:2" x14ac:dyDescent="0.25">
      <c r="A21" s="3" t="s">
        <v>51</v>
      </c>
      <c r="B21" s="9">
        <v>19</v>
      </c>
    </row>
    <row r="22" spans="1:2" x14ac:dyDescent="0.25">
      <c r="A22" s="3" t="s">
        <v>52</v>
      </c>
      <c r="B22" s="9">
        <v>20</v>
      </c>
    </row>
    <row r="23" spans="1:2" x14ac:dyDescent="0.25">
      <c r="A23" s="3" t="s">
        <v>53</v>
      </c>
      <c r="B23" s="9">
        <v>21</v>
      </c>
    </row>
    <row r="24" spans="1:2" x14ac:dyDescent="0.25">
      <c r="A24" s="3" t="s">
        <v>54</v>
      </c>
      <c r="B24" s="9">
        <v>22</v>
      </c>
    </row>
    <row r="25" spans="1:2" x14ac:dyDescent="0.25">
      <c r="A25" s="3" t="s">
        <v>55</v>
      </c>
      <c r="B25" s="9">
        <v>23</v>
      </c>
    </row>
    <row r="26" spans="1:2" x14ac:dyDescent="0.25">
      <c r="A26" s="3" t="s">
        <v>56</v>
      </c>
      <c r="B26" s="9">
        <v>24</v>
      </c>
    </row>
    <row r="27" spans="1:2" x14ac:dyDescent="0.25">
      <c r="A27" s="3" t="s">
        <v>57</v>
      </c>
      <c r="B27" s="9">
        <v>25</v>
      </c>
    </row>
    <row r="28" spans="1:2" x14ac:dyDescent="0.25">
      <c r="A28" s="3" t="s">
        <v>58</v>
      </c>
      <c r="B28" s="9">
        <v>26</v>
      </c>
    </row>
    <row r="29" spans="1:2" x14ac:dyDescent="0.25">
      <c r="A29" s="3" t="s">
        <v>59</v>
      </c>
      <c r="B29" s="9">
        <v>27</v>
      </c>
    </row>
    <row r="30" spans="1:2" x14ac:dyDescent="0.25">
      <c r="A30" s="3" t="s">
        <v>60</v>
      </c>
      <c r="B30" s="9">
        <v>28</v>
      </c>
    </row>
    <row r="31" spans="1:2" x14ac:dyDescent="0.25">
      <c r="A31" s="3" t="s">
        <v>63</v>
      </c>
      <c r="B31" s="9">
        <v>31</v>
      </c>
    </row>
    <row r="32" spans="1:2" x14ac:dyDescent="0.25">
      <c r="A32" s="3" t="s">
        <v>62</v>
      </c>
      <c r="B32" s="9">
        <v>30</v>
      </c>
    </row>
    <row r="33" spans="1:2" x14ac:dyDescent="0.25">
      <c r="A33" s="3" t="s">
        <v>64</v>
      </c>
      <c r="B33" s="9">
        <v>32</v>
      </c>
    </row>
    <row r="34" spans="1:2" x14ac:dyDescent="0.25">
      <c r="A34" s="3" t="s">
        <v>65</v>
      </c>
      <c r="B34" s="9">
        <v>33</v>
      </c>
    </row>
    <row r="35" spans="1:2" x14ac:dyDescent="0.25">
      <c r="A35" s="3" t="s">
        <v>66</v>
      </c>
      <c r="B35" s="9">
        <v>34</v>
      </c>
    </row>
    <row r="36" spans="1:2" x14ac:dyDescent="0.25">
      <c r="A36" s="3" t="s">
        <v>67</v>
      </c>
      <c r="B36" s="9">
        <v>35</v>
      </c>
    </row>
    <row r="37" spans="1:2" x14ac:dyDescent="0.25">
      <c r="A37" s="3" t="s">
        <v>68</v>
      </c>
      <c r="B37" s="9">
        <v>36</v>
      </c>
    </row>
    <row r="38" spans="1:2" x14ac:dyDescent="0.25">
      <c r="A38" s="3" t="s">
        <v>69</v>
      </c>
      <c r="B38" s="9">
        <v>37</v>
      </c>
    </row>
    <row r="39" spans="1:2" x14ac:dyDescent="0.25">
      <c r="A39" s="3" t="s">
        <v>70</v>
      </c>
      <c r="B39" s="9">
        <v>38</v>
      </c>
    </row>
    <row r="40" spans="1:2" x14ac:dyDescent="0.25">
      <c r="A40" s="3" t="s">
        <v>71</v>
      </c>
      <c r="B40" s="9">
        <v>39</v>
      </c>
    </row>
    <row r="41" spans="1:2" x14ac:dyDescent="0.25">
      <c r="A41" s="3" t="s">
        <v>72</v>
      </c>
      <c r="B41" s="9">
        <v>40</v>
      </c>
    </row>
    <row r="42" spans="1:2" x14ac:dyDescent="0.25">
      <c r="A42" s="3" t="s">
        <v>73</v>
      </c>
      <c r="B42" s="9">
        <v>41</v>
      </c>
    </row>
    <row r="43" spans="1:2" x14ac:dyDescent="0.25">
      <c r="A43" s="3" t="s">
        <v>74</v>
      </c>
      <c r="B43" s="9">
        <v>42</v>
      </c>
    </row>
    <row r="44" spans="1:2" x14ac:dyDescent="0.25">
      <c r="A44" s="3" t="s">
        <v>75</v>
      </c>
      <c r="B44" s="9">
        <v>43</v>
      </c>
    </row>
    <row r="45" spans="1:2" x14ac:dyDescent="0.25">
      <c r="A45" s="3" t="s">
        <v>76</v>
      </c>
      <c r="B45" s="9">
        <v>44</v>
      </c>
    </row>
    <row r="46" spans="1:2" x14ac:dyDescent="0.25">
      <c r="A46" s="3" t="s">
        <v>77</v>
      </c>
      <c r="B46" s="9">
        <v>45</v>
      </c>
    </row>
    <row r="47" spans="1:2" x14ac:dyDescent="0.25">
      <c r="A47" s="3" t="s">
        <v>78</v>
      </c>
      <c r="B47" s="9">
        <v>46</v>
      </c>
    </row>
    <row r="48" spans="1:2" x14ac:dyDescent="0.25">
      <c r="A48" s="3" t="s">
        <v>79</v>
      </c>
      <c r="B48" s="9">
        <v>47</v>
      </c>
    </row>
    <row r="49" spans="1:2" x14ac:dyDescent="0.25">
      <c r="A49" s="3" t="s">
        <v>80</v>
      </c>
      <c r="B49" s="9">
        <v>48</v>
      </c>
    </row>
    <row r="50" spans="1:2" x14ac:dyDescent="0.25">
      <c r="A50" s="3" t="s">
        <v>81</v>
      </c>
      <c r="B50" s="9">
        <v>49</v>
      </c>
    </row>
    <row r="51" spans="1:2" x14ac:dyDescent="0.25">
      <c r="A51" s="3" t="s">
        <v>82</v>
      </c>
      <c r="B51" s="9">
        <v>50</v>
      </c>
    </row>
    <row r="52" spans="1:2" x14ac:dyDescent="0.25">
      <c r="A52" s="3" t="s">
        <v>83</v>
      </c>
      <c r="B52" s="9">
        <v>51</v>
      </c>
    </row>
    <row r="53" spans="1:2" ht="15.75" thickBot="1" x14ac:dyDescent="0.3">
      <c r="A53" s="4" t="s">
        <v>84</v>
      </c>
      <c r="B53" s="10">
        <v>52</v>
      </c>
    </row>
  </sheetData>
  <autoFilter ref="A1:B53">
    <sortState ref="A2:B53">
      <sortCondition ref="A1:A53"/>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33"/>
  <sheetViews>
    <sheetView workbookViewId="0"/>
  </sheetViews>
  <sheetFormatPr defaultRowHeight="15" x14ac:dyDescent="0.25"/>
  <cols>
    <col min="1" max="1" width="44.140625" bestFit="1" customWidth="1"/>
    <col min="2" max="2" width="8.140625" bestFit="1" customWidth="1"/>
  </cols>
  <sheetData>
    <row r="1" spans="1:2" ht="19.5" x14ac:dyDescent="0.25">
      <c r="A1" s="5" t="s">
        <v>257</v>
      </c>
      <c r="B1" s="11" t="s">
        <v>85</v>
      </c>
    </row>
    <row r="2" spans="1:2" x14ac:dyDescent="0.25">
      <c r="A2" s="3" t="s">
        <v>269</v>
      </c>
      <c r="B2" s="9">
        <v>13</v>
      </c>
    </row>
    <row r="3" spans="1:2" x14ac:dyDescent="0.25">
      <c r="A3" s="3" t="s">
        <v>266</v>
      </c>
      <c r="B3" s="9">
        <v>10</v>
      </c>
    </row>
    <row r="4" spans="1:2" x14ac:dyDescent="0.25">
      <c r="A4" s="3" t="s">
        <v>261</v>
      </c>
      <c r="B4" s="9">
        <v>5</v>
      </c>
    </row>
    <row r="5" spans="1:2" x14ac:dyDescent="0.25">
      <c r="A5" s="3" t="s">
        <v>278</v>
      </c>
      <c r="B5" s="9">
        <v>22</v>
      </c>
    </row>
    <row r="6" spans="1:2" x14ac:dyDescent="0.25">
      <c r="A6" s="3" t="s">
        <v>279</v>
      </c>
      <c r="B6" s="9">
        <v>23</v>
      </c>
    </row>
    <row r="7" spans="1:2" x14ac:dyDescent="0.25">
      <c r="A7" s="3" t="s">
        <v>264</v>
      </c>
      <c r="B7" s="9">
        <v>8</v>
      </c>
    </row>
    <row r="8" spans="1:2" x14ac:dyDescent="0.25">
      <c r="A8" s="3" t="s">
        <v>274</v>
      </c>
      <c r="B8" s="9">
        <v>18</v>
      </c>
    </row>
    <row r="9" spans="1:2" x14ac:dyDescent="0.25">
      <c r="A9" s="3" t="s">
        <v>263</v>
      </c>
      <c r="B9" s="9">
        <v>7</v>
      </c>
    </row>
    <row r="10" spans="1:2" x14ac:dyDescent="0.25">
      <c r="A10" s="3" t="s">
        <v>267</v>
      </c>
      <c r="B10" s="9">
        <v>11</v>
      </c>
    </row>
    <row r="11" spans="1:2" x14ac:dyDescent="0.25">
      <c r="A11" s="3" t="s">
        <v>268</v>
      </c>
      <c r="B11" s="9">
        <v>12</v>
      </c>
    </row>
    <row r="12" spans="1:2" x14ac:dyDescent="0.25">
      <c r="A12" s="3" t="s">
        <v>577</v>
      </c>
      <c r="B12" s="9">
        <v>1</v>
      </c>
    </row>
    <row r="13" spans="1:2" x14ac:dyDescent="0.25">
      <c r="A13" s="3" t="s">
        <v>288</v>
      </c>
      <c r="B13" s="9">
        <v>32</v>
      </c>
    </row>
    <row r="14" spans="1:2" x14ac:dyDescent="0.25">
      <c r="A14" s="3" t="s">
        <v>287</v>
      </c>
      <c r="B14" s="9">
        <v>31</v>
      </c>
    </row>
    <row r="15" spans="1:2" x14ac:dyDescent="0.25">
      <c r="A15" s="3" t="s">
        <v>271</v>
      </c>
      <c r="B15" s="9">
        <v>15</v>
      </c>
    </row>
    <row r="16" spans="1:2" x14ac:dyDescent="0.25">
      <c r="A16" s="3" t="s">
        <v>282</v>
      </c>
      <c r="B16" s="9">
        <v>26</v>
      </c>
    </row>
    <row r="17" spans="1:2" x14ac:dyDescent="0.25">
      <c r="A17" s="3" t="s">
        <v>284</v>
      </c>
      <c r="B17" s="9">
        <v>28</v>
      </c>
    </row>
    <row r="18" spans="1:2" x14ac:dyDescent="0.25">
      <c r="A18" s="3" t="s">
        <v>273</v>
      </c>
      <c r="B18" s="9">
        <v>17</v>
      </c>
    </row>
    <row r="19" spans="1:2" x14ac:dyDescent="0.25">
      <c r="A19" s="3" t="s">
        <v>258</v>
      </c>
      <c r="B19" s="9">
        <v>2</v>
      </c>
    </row>
    <row r="20" spans="1:2" x14ac:dyDescent="0.25">
      <c r="A20" s="3" t="s">
        <v>259</v>
      </c>
      <c r="B20" s="9">
        <v>3</v>
      </c>
    </row>
    <row r="21" spans="1:2" x14ac:dyDescent="0.25">
      <c r="A21" s="3" t="s">
        <v>260</v>
      </c>
      <c r="B21" s="9">
        <v>4</v>
      </c>
    </row>
    <row r="22" spans="1:2" x14ac:dyDescent="0.25">
      <c r="A22" s="3" t="s">
        <v>277</v>
      </c>
      <c r="B22" s="9">
        <v>21</v>
      </c>
    </row>
    <row r="23" spans="1:2" x14ac:dyDescent="0.25">
      <c r="A23" s="3" t="s">
        <v>286</v>
      </c>
      <c r="B23" s="9">
        <v>30</v>
      </c>
    </row>
    <row r="24" spans="1:2" x14ac:dyDescent="0.25">
      <c r="A24" s="3" t="s">
        <v>265</v>
      </c>
      <c r="B24" s="9">
        <v>9</v>
      </c>
    </row>
    <row r="25" spans="1:2" x14ac:dyDescent="0.25">
      <c r="A25" s="3" t="s">
        <v>283</v>
      </c>
      <c r="B25" s="9">
        <v>27</v>
      </c>
    </row>
    <row r="26" spans="1:2" x14ac:dyDescent="0.25">
      <c r="A26" s="3" t="s">
        <v>285</v>
      </c>
      <c r="B26" s="9">
        <v>29</v>
      </c>
    </row>
    <row r="27" spans="1:2" x14ac:dyDescent="0.25">
      <c r="A27" s="3" t="s">
        <v>275</v>
      </c>
      <c r="B27" s="9">
        <v>19</v>
      </c>
    </row>
    <row r="28" spans="1:2" x14ac:dyDescent="0.25">
      <c r="A28" s="3" t="s">
        <v>262</v>
      </c>
      <c r="B28" s="9">
        <v>6</v>
      </c>
    </row>
    <row r="29" spans="1:2" x14ac:dyDescent="0.25">
      <c r="A29" s="3" t="s">
        <v>270</v>
      </c>
      <c r="B29" s="9">
        <v>14</v>
      </c>
    </row>
    <row r="30" spans="1:2" x14ac:dyDescent="0.25">
      <c r="A30" s="3" t="s">
        <v>281</v>
      </c>
      <c r="B30" s="9">
        <v>25</v>
      </c>
    </row>
    <row r="31" spans="1:2" x14ac:dyDescent="0.25">
      <c r="A31" s="3" t="s">
        <v>276</v>
      </c>
      <c r="B31" s="9">
        <v>20</v>
      </c>
    </row>
    <row r="32" spans="1:2" x14ac:dyDescent="0.25">
      <c r="A32" s="3" t="s">
        <v>280</v>
      </c>
      <c r="B32" s="9">
        <v>24</v>
      </c>
    </row>
    <row r="33" spans="1:2" ht="15.75" thickBot="1" x14ac:dyDescent="0.3">
      <c r="A33" s="4" t="s">
        <v>272</v>
      </c>
      <c r="B33" s="10">
        <v>16</v>
      </c>
    </row>
  </sheetData>
  <autoFilter ref="A1:B33">
    <sortState ref="A2:B33">
      <sortCondition ref="A1:A3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3"/>
  <sheetViews>
    <sheetView workbookViewId="0"/>
  </sheetViews>
  <sheetFormatPr defaultRowHeight="15" x14ac:dyDescent="0.25"/>
  <cols>
    <col min="1" max="1" width="33.5703125" bestFit="1" customWidth="1"/>
  </cols>
  <sheetData>
    <row r="1" spans="1:2" ht="19.5" x14ac:dyDescent="0.25">
      <c r="A1" s="5" t="s">
        <v>289</v>
      </c>
      <c r="B1" s="11" t="s">
        <v>85</v>
      </c>
    </row>
    <row r="2" spans="1:2" x14ac:dyDescent="0.25">
      <c r="A2" s="3" t="s">
        <v>290</v>
      </c>
      <c r="B2" s="9">
        <v>1</v>
      </c>
    </row>
    <row r="3" spans="1:2" x14ac:dyDescent="0.25">
      <c r="A3" s="3" t="s">
        <v>291</v>
      </c>
      <c r="B3" s="9">
        <v>2</v>
      </c>
    </row>
    <row r="4" spans="1:2" x14ac:dyDescent="0.25">
      <c r="A4" s="3" t="s">
        <v>292</v>
      </c>
      <c r="B4" s="9">
        <v>3</v>
      </c>
    </row>
    <row r="5" spans="1:2" x14ac:dyDescent="0.25">
      <c r="A5" s="3" t="s">
        <v>293</v>
      </c>
      <c r="B5" s="9">
        <v>4</v>
      </c>
    </row>
    <row r="6" spans="1:2" x14ac:dyDescent="0.25">
      <c r="A6" s="3" t="s">
        <v>304</v>
      </c>
      <c r="B6" s="9">
        <v>16</v>
      </c>
    </row>
    <row r="7" spans="1:2" x14ac:dyDescent="0.25">
      <c r="A7" s="3" t="s">
        <v>287</v>
      </c>
      <c r="B7" s="9">
        <v>17</v>
      </c>
    </row>
    <row r="8" spans="1:2" x14ac:dyDescent="0.25">
      <c r="A8" s="3" t="s">
        <v>307</v>
      </c>
      <c r="B8" s="9">
        <v>20</v>
      </c>
    </row>
    <row r="9" spans="1:2" x14ac:dyDescent="0.25">
      <c r="A9" s="3" t="s">
        <v>294</v>
      </c>
      <c r="B9" s="9">
        <v>5</v>
      </c>
    </row>
    <row r="10" spans="1:2" x14ac:dyDescent="0.25">
      <c r="A10" s="3" t="s">
        <v>305</v>
      </c>
      <c r="B10" s="9">
        <v>18</v>
      </c>
    </row>
    <row r="11" spans="1:2" x14ac:dyDescent="0.25">
      <c r="A11" s="3" t="s">
        <v>299</v>
      </c>
      <c r="B11" s="9">
        <v>11</v>
      </c>
    </row>
    <row r="12" spans="1:2" x14ac:dyDescent="0.25">
      <c r="A12" s="3" t="s">
        <v>300</v>
      </c>
      <c r="B12" s="9">
        <v>12</v>
      </c>
    </row>
    <row r="13" spans="1:2" x14ac:dyDescent="0.25">
      <c r="A13" s="3" t="s">
        <v>301</v>
      </c>
      <c r="B13" s="9">
        <v>13</v>
      </c>
    </row>
    <row r="14" spans="1:2" x14ac:dyDescent="0.25">
      <c r="A14" s="3" t="s">
        <v>302</v>
      </c>
      <c r="B14" s="9">
        <v>14</v>
      </c>
    </row>
    <row r="15" spans="1:2" x14ac:dyDescent="0.25">
      <c r="A15" s="3" t="s">
        <v>303</v>
      </c>
      <c r="B15" s="9">
        <v>15</v>
      </c>
    </row>
    <row r="16" spans="1:2" x14ac:dyDescent="0.25">
      <c r="A16" s="3" t="s">
        <v>296</v>
      </c>
      <c r="B16" s="9">
        <v>7</v>
      </c>
    </row>
    <row r="17" spans="1:2" x14ac:dyDescent="0.25">
      <c r="A17" s="3" t="s">
        <v>295</v>
      </c>
      <c r="B17" s="9">
        <v>6</v>
      </c>
    </row>
    <row r="18" spans="1:2" x14ac:dyDescent="0.25">
      <c r="A18" s="3" t="s">
        <v>298</v>
      </c>
      <c r="B18" s="9">
        <v>10</v>
      </c>
    </row>
    <row r="19" spans="1:2" x14ac:dyDescent="0.25">
      <c r="A19" s="3" t="s">
        <v>325</v>
      </c>
      <c r="B19" s="9">
        <v>9</v>
      </c>
    </row>
    <row r="20" spans="1:2" x14ac:dyDescent="0.25">
      <c r="A20" s="3" t="s">
        <v>309</v>
      </c>
      <c r="B20" s="9">
        <v>22</v>
      </c>
    </row>
    <row r="21" spans="1:2" x14ac:dyDescent="0.25">
      <c r="A21" s="3" t="s">
        <v>297</v>
      </c>
      <c r="B21" s="9">
        <v>8</v>
      </c>
    </row>
    <row r="22" spans="1:2" x14ac:dyDescent="0.25">
      <c r="A22" s="3" t="s">
        <v>308</v>
      </c>
      <c r="B22" s="9">
        <v>21</v>
      </c>
    </row>
    <row r="23" spans="1:2" ht="15.75" thickBot="1" x14ac:dyDescent="0.3">
      <c r="A23" s="4" t="s">
        <v>306</v>
      </c>
      <c r="B23" s="10">
        <v>19</v>
      </c>
    </row>
  </sheetData>
  <autoFilter ref="A1:B23">
    <sortState ref="A2:B23">
      <sortCondition ref="A1:A23"/>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9"/>
  <sheetViews>
    <sheetView workbookViewId="0"/>
  </sheetViews>
  <sheetFormatPr defaultRowHeight="15" x14ac:dyDescent="0.25"/>
  <cols>
    <col min="1" max="1" width="19" customWidth="1"/>
  </cols>
  <sheetData>
    <row r="1" spans="1:2" ht="19.5" x14ac:dyDescent="0.25">
      <c r="A1" s="5" t="s">
        <v>1</v>
      </c>
      <c r="B1" s="11" t="s">
        <v>85</v>
      </c>
    </row>
    <row r="2" spans="1:2" x14ac:dyDescent="0.25">
      <c r="A2" s="3" t="s">
        <v>310</v>
      </c>
      <c r="B2" s="9">
        <v>1</v>
      </c>
    </row>
    <row r="3" spans="1:2" x14ac:dyDescent="0.25">
      <c r="A3" s="3" t="s">
        <v>311</v>
      </c>
      <c r="B3" s="9">
        <v>3</v>
      </c>
    </row>
    <row r="4" spans="1:2" x14ac:dyDescent="0.25">
      <c r="A4" s="3" t="s">
        <v>312</v>
      </c>
      <c r="B4" s="9">
        <v>7</v>
      </c>
    </row>
    <row r="5" spans="1:2" x14ac:dyDescent="0.25">
      <c r="A5" s="3" t="s">
        <v>313</v>
      </c>
      <c r="B5" s="9">
        <v>8</v>
      </c>
    </row>
    <row r="6" spans="1:2" x14ac:dyDescent="0.25">
      <c r="A6" s="3" t="s">
        <v>314</v>
      </c>
      <c r="B6" s="9">
        <v>2</v>
      </c>
    </row>
    <row r="7" spans="1:2" x14ac:dyDescent="0.25">
      <c r="A7" s="3" t="s">
        <v>315</v>
      </c>
      <c r="B7" s="9">
        <v>6</v>
      </c>
    </row>
    <row r="8" spans="1:2" x14ac:dyDescent="0.25">
      <c r="A8" s="3" t="s">
        <v>316</v>
      </c>
      <c r="B8" s="9">
        <v>4</v>
      </c>
    </row>
    <row r="9" spans="1:2" ht="15.75" thickBot="1" x14ac:dyDescent="0.3">
      <c r="A9" s="4" t="s">
        <v>317</v>
      </c>
      <c r="B9" s="10">
        <v>5</v>
      </c>
    </row>
  </sheetData>
  <autoFilter ref="A1:B9">
    <sortState ref="A2:B9">
      <sortCondition ref="A1:A9"/>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30</vt:i4>
      </vt:variant>
    </vt:vector>
  </HeadingPairs>
  <TitlesOfParts>
    <vt:vector size="38" baseType="lpstr">
      <vt:lpstr>Template</vt:lpstr>
      <vt:lpstr>City</vt:lpstr>
      <vt:lpstr>District</vt:lpstr>
      <vt:lpstr>Ward</vt:lpstr>
      <vt:lpstr>Speciality</vt:lpstr>
      <vt:lpstr>Service</vt:lpstr>
      <vt:lpstr>Facility</vt:lpstr>
      <vt:lpstr>HospitalType</vt:lpstr>
      <vt:lpstr>CityList</vt:lpstr>
      <vt:lpstr>FacilityList</vt:lpstr>
      <vt:lpstr>Hồ_Chí_Minh_List</vt:lpstr>
      <vt:lpstr>HospitalTypeList</vt:lpstr>
      <vt:lpstr>ServiceList</vt:lpstr>
      <vt:lpstr>SG_Huyện_Bình_Chánh_List</vt:lpstr>
      <vt:lpstr>SG_Huyện_Cần_Giờ_List</vt:lpstr>
      <vt:lpstr>SG_Huyện_Củ_Chi_List</vt:lpstr>
      <vt:lpstr>SG_Huyện_Hóc_Môn_List</vt:lpstr>
      <vt:lpstr>SG_Huyện_Nhà_Bè_List</vt:lpstr>
      <vt:lpstr>SG_Quận_1_List</vt:lpstr>
      <vt:lpstr>SG_Quận_10_List</vt:lpstr>
      <vt:lpstr>SG_Quận_11_List</vt:lpstr>
      <vt:lpstr>SG_Quận_12_List</vt:lpstr>
      <vt:lpstr>SG_Quận_2_List</vt:lpstr>
      <vt:lpstr>SG_Quận_3_List</vt:lpstr>
      <vt:lpstr>SG_Quận_4_List</vt:lpstr>
      <vt:lpstr>SG_Quận_5_List</vt:lpstr>
      <vt:lpstr>SG_Quận_6_List</vt:lpstr>
      <vt:lpstr>SG_Quận_7_List</vt:lpstr>
      <vt:lpstr>SG_Quận_8_List</vt:lpstr>
      <vt:lpstr>SG_Quận_9_List</vt:lpstr>
      <vt:lpstr>SG_Quận_Bình_Tân_List</vt:lpstr>
      <vt:lpstr>SG_Quận_Bình_Thạnh_List</vt:lpstr>
      <vt:lpstr>SG_Quận_Gò_Vấp_List</vt:lpstr>
      <vt:lpstr>SG_Quận_Phú_Nhuận_List</vt:lpstr>
      <vt:lpstr>SG_Quận_Tân_Bình_List</vt:lpstr>
      <vt:lpstr>SG_Quận_Tân_Phú_List</vt:lpstr>
      <vt:lpstr>SG_Quận_Thủ_Đức_List</vt:lpstr>
      <vt:lpstr>SpecialityList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 Nguyen</dc:creator>
  <cp:lastModifiedBy>Son Nguyen</cp:lastModifiedBy>
  <dcterms:created xsi:type="dcterms:W3CDTF">2014-08-07T09:30:45Z</dcterms:created>
  <dcterms:modified xsi:type="dcterms:W3CDTF">2014-08-11T16:50:44Z</dcterms:modified>
</cp:coreProperties>
</file>