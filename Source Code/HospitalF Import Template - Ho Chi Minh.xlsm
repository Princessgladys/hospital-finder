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E:\Document\FU\Capstone Project\HospitalF\Source Code\"/>
    </mc:Choice>
  </mc:AlternateContent>
  <bookViews>
    <workbookView xWindow="0" yWindow="0" windowWidth="20490" windowHeight="7755"/>
  </bookViews>
  <sheets>
    <sheet name="Template" sheetId="1" r:id="rId1"/>
    <sheet name="City" sheetId="2" r:id="rId2"/>
    <sheet name="District" sheetId="3" r:id="rId3"/>
    <sheet name="Ward" sheetId="4" r:id="rId4"/>
    <sheet name="Speciality" sheetId="5" r:id="rId5"/>
    <sheet name="Service" sheetId="6" r:id="rId6"/>
    <sheet name="Facility" sheetId="7" r:id="rId7"/>
    <sheet name="HospitalType" sheetId="8" r:id="rId8"/>
  </sheets>
  <definedNames>
    <definedName name="_xlnm._FilterDatabase" localSheetId="1" hidden="1">City!$A$1:$A$2</definedName>
    <definedName name="_xlnm._FilterDatabase" localSheetId="2" hidden="1">District!$A$1:$A$25</definedName>
    <definedName name="_xlnm._FilterDatabase" localSheetId="6" hidden="1">Facility!$A$1:$B$23</definedName>
    <definedName name="_xlnm._FilterDatabase" localSheetId="7" hidden="1">HospitalType!$A$1:$B$9</definedName>
    <definedName name="_xlnm._FilterDatabase" localSheetId="5" hidden="1">Service!$A$1:$B$33</definedName>
    <definedName name="_xlnm._FilterDatabase" localSheetId="4" hidden="1">Speciality!$A$1:$B$53</definedName>
    <definedName name="_xlnm._FilterDatabase" localSheetId="3" hidden="1">Ward!$A$1:$AU$22</definedName>
    <definedName name="CityList">City!$A$2</definedName>
    <definedName name="FacilityList">Facility!$A$2:$A$23</definedName>
    <definedName name="Hồ_Chí_Minh_List">District!$A$2:$A$25</definedName>
    <definedName name="HospitalTypeList">HospitalType!$A$2:$A$9</definedName>
    <definedName name="ServiceList">Service!$A$2:$A$33</definedName>
    <definedName name="SG_Huyện_Bình_Chánh_List">Ward!$Y$2:$Y$17</definedName>
    <definedName name="SG_Huyện_Cần_Giờ_List">Ward!$AE$2:$AE$8</definedName>
    <definedName name="SG_Huyện_Củ_Chi_List">Ward!$AG$2:$AG$22</definedName>
    <definedName name="SG_Huyện_Hóc_Môn_List">Ward!$AK$2:$AK$13</definedName>
    <definedName name="SG_Huyện_Nhà_Bè_List">Ward!$AM$2:$AM$8</definedName>
    <definedName name="SG_Quận_1_List">Ward!$A$2:$A$11</definedName>
    <definedName name="SG_Quận_10_List">Ward!$S$2:$S$16</definedName>
    <definedName name="SG_Quận_11_List">Ward!$U$2:$U$17</definedName>
    <definedName name="SG_Quận_12_List">Ward!$W$2:$W$12</definedName>
    <definedName name="SG_Quận_2_List">Ward!$C$2:$C$12</definedName>
    <definedName name="SG_Quận_3_List">Ward!$E$2:$E$15</definedName>
    <definedName name="SG_Quận_4_List">Ward!$G$2:$G$16</definedName>
    <definedName name="SG_Quận_5_List">Ward!$I$2:$I$16</definedName>
    <definedName name="SG_Quận_6_List">Ward!$K$2:$K$15</definedName>
    <definedName name="SG_Quận_7_List">Ward!$M$2:$M$11</definedName>
    <definedName name="SG_Quận_8_List">Ward!$O$2:$O$17</definedName>
    <definedName name="SG_Quận_9_List">Ward!$Q$2:$Q$14</definedName>
    <definedName name="SG_Quận_Bình_Tân_List">Ward!$AA$2:$AA$11</definedName>
    <definedName name="SG_Quận_Bình_Thạnh_List">Ward!$AC$2:$AC$21</definedName>
    <definedName name="SG_Quận_Gò_Vấp_List">Ward!$AI$2:$AI$17</definedName>
    <definedName name="SG_Quận_Phú_Nhuận_List">Ward!$AO$2:$AO$15</definedName>
    <definedName name="SG_Quận_Tân_Bình_List">Ward!$AQ$2:$AQ$16</definedName>
    <definedName name="SG_Quận_Tân_Phú_List">Ward!$AS$2:$AS$12</definedName>
    <definedName name="SG_Quận_Thủ_Đức_List">Ward!$AU$2:$AU$13</definedName>
    <definedName name="SpecialityList">Speciality!$A$2:$A$53</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X3" i="1" l="1"/>
  <c r="X4" i="1"/>
  <c r="X5" i="1"/>
  <c r="X6" i="1"/>
  <c r="X7" i="1"/>
  <c r="X8" i="1"/>
  <c r="X9" i="1"/>
  <c r="X10" i="1"/>
  <c r="X11" i="1"/>
  <c r="X12" i="1"/>
  <c r="X13" i="1"/>
  <c r="X14" i="1"/>
  <c r="X15" i="1"/>
  <c r="X16" i="1"/>
  <c r="X17" i="1"/>
  <c r="X18" i="1"/>
  <c r="X19" i="1"/>
  <c r="X20" i="1"/>
  <c r="X21" i="1"/>
  <c r="X22" i="1"/>
  <c r="X23" i="1"/>
  <c r="X24" i="1"/>
  <c r="X25" i="1"/>
  <c r="X26" i="1"/>
  <c r="X27" i="1"/>
  <c r="X28" i="1"/>
  <c r="X29" i="1"/>
  <c r="X30" i="1"/>
  <c r="X31" i="1"/>
  <c r="X32" i="1"/>
  <c r="X33" i="1"/>
  <c r="X34" i="1"/>
  <c r="X35" i="1"/>
  <c r="X36" i="1"/>
  <c r="X37" i="1"/>
  <c r="X38" i="1"/>
  <c r="X39" i="1"/>
  <c r="X40" i="1"/>
  <c r="X41" i="1"/>
  <c r="X42" i="1"/>
  <c r="X43" i="1"/>
  <c r="X44" i="1"/>
  <c r="X45" i="1"/>
  <c r="X46" i="1"/>
  <c r="X47" i="1"/>
  <c r="X48" i="1"/>
  <c r="X49" i="1"/>
  <c r="X50" i="1"/>
  <c r="X51" i="1"/>
  <c r="X52" i="1"/>
  <c r="X53" i="1"/>
  <c r="X54" i="1"/>
  <c r="X55" i="1"/>
  <c r="X56" i="1"/>
  <c r="X57" i="1"/>
  <c r="X58" i="1"/>
  <c r="X59" i="1"/>
  <c r="X60" i="1"/>
  <c r="X61" i="1"/>
  <c r="X62" i="1"/>
  <c r="X63" i="1"/>
  <c r="X64" i="1"/>
  <c r="X65" i="1"/>
  <c r="X66" i="1"/>
  <c r="X67" i="1"/>
  <c r="X68" i="1"/>
  <c r="X69" i="1"/>
  <c r="X70" i="1"/>
  <c r="X71" i="1"/>
  <c r="X72" i="1"/>
  <c r="X73" i="1"/>
  <c r="X74" i="1"/>
  <c r="X75" i="1"/>
  <c r="X76" i="1"/>
  <c r="X77" i="1"/>
  <c r="X78" i="1"/>
  <c r="X79" i="1"/>
  <c r="X80" i="1"/>
  <c r="X81" i="1"/>
  <c r="X82" i="1"/>
  <c r="X83" i="1"/>
  <c r="X84" i="1"/>
  <c r="X85" i="1"/>
  <c r="X86" i="1"/>
  <c r="X87" i="1"/>
  <c r="X88" i="1"/>
  <c r="X89" i="1"/>
  <c r="X90" i="1"/>
  <c r="X91" i="1"/>
  <c r="X92" i="1"/>
  <c r="X93" i="1"/>
  <c r="X94" i="1"/>
  <c r="X95" i="1"/>
  <c r="X96" i="1"/>
  <c r="X97" i="1"/>
  <c r="X98" i="1"/>
  <c r="X99" i="1"/>
  <c r="X100" i="1"/>
  <c r="X101" i="1"/>
  <c r="X102" i="1"/>
  <c r="X103" i="1"/>
  <c r="X104" i="1"/>
  <c r="X105" i="1"/>
  <c r="X106" i="1"/>
  <c r="X107" i="1"/>
  <c r="X108" i="1"/>
  <c r="X109" i="1"/>
  <c r="X110" i="1"/>
  <c r="X111" i="1"/>
  <c r="X112" i="1"/>
  <c r="X113" i="1"/>
  <c r="X114" i="1"/>
  <c r="X115" i="1"/>
  <c r="X116" i="1"/>
  <c r="X117" i="1"/>
  <c r="X118" i="1"/>
  <c r="X119" i="1"/>
  <c r="X120" i="1"/>
  <c r="X121" i="1"/>
  <c r="X122" i="1"/>
  <c r="X123" i="1"/>
  <c r="X124" i="1"/>
  <c r="X125" i="1"/>
  <c r="X126" i="1"/>
  <c r="X127" i="1"/>
  <c r="X128" i="1"/>
  <c r="X129" i="1"/>
  <c r="X130" i="1"/>
  <c r="X131" i="1"/>
  <c r="X132" i="1"/>
  <c r="X133" i="1"/>
  <c r="X134" i="1"/>
  <c r="X135" i="1"/>
  <c r="X136" i="1"/>
  <c r="X137" i="1"/>
  <c r="X138" i="1"/>
  <c r="X139" i="1"/>
  <c r="X140" i="1"/>
  <c r="X141" i="1"/>
  <c r="X142" i="1"/>
  <c r="X143" i="1"/>
  <c r="X144" i="1"/>
  <c r="X145" i="1"/>
  <c r="X146" i="1"/>
  <c r="X147" i="1"/>
  <c r="X148" i="1"/>
  <c r="X149" i="1"/>
  <c r="X150" i="1"/>
  <c r="X151" i="1"/>
  <c r="X152" i="1"/>
  <c r="X153" i="1"/>
  <c r="X154" i="1"/>
  <c r="X155" i="1"/>
  <c r="X156" i="1"/>
  <c r="X157" i="1"/>
  <c r="X158" i="1"/>
  <c r="X159" i="1"/>
  <c r="X160" i="1"/>
  <c r="X161" i="1"/>
  <c r="X162" i="1"/>
  <c r="X163" i="1"/>
  <c r="X164" i="1"/>
  <c r="X165" i="1"/>
  <c r="X166" i="1"/>
  <c r="X167" i="1"/>
  <c r="X168" i="1"/>
  <c r="X169" i="1"/>
  <c r="X170" i="1"/>
  <c r="X171" i="1"/>
  <c r="X172" i="1"/>
  <c r="X173" i="1"/>
  <c r="X174" i="1"/>
  <c r="X175" i="1"/>
  <c r="X176" i="1"/>
  <c r="X177" i="1"/>
  <c r="X178" i="1"/>
  <c r="X179" i="1"/>
  <c r="X180" i="1"/>
  <c r="X181" i="1"/>
  <c r="X182" i="1"/>
  <c r="X183" i="1"/>
  <c r="X184" i="1"/>
  <c r="X185" i="1"/>
  <c r="X186" i="1"/>
  <c r="X187" i="1"/>
  <c r="X188" i="1"/>
  <c r="X189" i="1"/>
  <c r="X190" i="1"/>
  <c r="X191" i="1"/>
  <c r="X192" i="1"/>
  <c r="X193" i="1"/>
  <c r="X194" i="1"/>
  <c r="X195" i="1"/>
  <c r="X196" i="1"/>
  <c r="X197" i="1"/>
  <c r="X198" i="1"/>
  <c r="X199" i="1"/>
  <c r="X200" i="1"/>
  <c r="X2" i="1"/>
  <c r="Y3" i="1" l="1"/>
  <c r="Y4" i="1"/>
  <c r="Y5" i="1"/>
  <c r="Y6" i="1"/>
  <c r="Y7" i="1"/>
  <c r="Y8" i="1"/>
  <c r="Y9" i="1"/>
  <c r="Y10" i="1"/>
  <c r="Y11" i="1"/>
  <c r="Y12" i="1"/>
  <c r="Y13" i="1"/>
  <c r="Y14" i="1"/>
  <c r="Y15" i="1"/>
  <c r="Y16" i="1"/>
  <c r="Y17" i="1"/>
  <c r="Y18" i="1"/>
  <c r="Y19"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 i="1"/>
  <c r="W3" i="1" l="1"/>
  <c r="W4" i="1"/>
  <c r="W5" i="1"/>
  <c r="W6" i="1"/>
  <c r="W7" i="1"/>
  <c r="W8" i="1"/>
  <c r="W9" i="1"/>
  <c r="W10" i="1"/>
  <c r="W11" i="1"/>
  <c r="W12" i="1"/>
  <c r="W13" i="1"/>
  <c r="W14" i="1"/>
  <c r="W15" i="1"/>
  <c r="W16" i="1"/>
  <c r="W17" i="1"/>
  <c r="W18" i="1"/>
  <c r="W19" i="1"/>
  <c r="W20" i="1"/>
  <c r="W21" i="1"/>
  <c r="W22" i="1"/>
  <c r="W23" i="1"/>
  <c r="W24" i="1"/>
  <c r="W25" i="1"/>
  <c r="W26" i="1"/>
  <c r="W27" i="1"/>
  <c r="W28" i="1"/>
  <c r="W29" i="1"/>
  <c r="W30" i="1"/>
  <c r="W31" i="1"/>
  <c r="W32" i="1"/>
  <c r="W33" i="1"/>
  <c r="W34" i="1"/>
  <c r="W35" i="1"/>
  <c r="W36" i="1"/>
  <c r="W37" i="1"/>
  <c r="W38" i="1"/>
  <c r="W39" i="1"/>
  <c r="W40" i="1"/>
  <c r="W41" i="1"/>
  <c r="W42" i="1"/>
  <c r="W43" i="1"/>
  <c r="W44" i="1"/>
  <c r="W45" i="1"/>
  <c r="W46" i="1"/>
  <c r="W47" i="1"/>
  <c r="W48" i="1"/>
  <c r="W49" i="1"/>
  <c r="W50" i="1"/>
  <c r="W51" i="1"/>
  <c r="W52" i="1"/>
  <c r="W53" i="1"/>
  <c r="W54" i="1"/>
  <c r="W55" i="1"/>
  <c r="W56" i="1"/>
  <c r="W57" i="1"/>
  <c r="W58" i="1"/>
  <c r="W59" i="1"/>
  <c r="W60" i="1"/>
  <c r="W61" i="1"/>
  <c r="W62" i="1"/>
  <c r="W63" i="1"/>
  <c r="W64" i="1"/>
  <c r="W65" i="1"/>
  <c r="W66" i="1"/>
  <c r="W67" i="1"/>
  <c r="W68" i="1"/>
  <c r="W69" i="1"/>
  <c r="W70" i="1"/>
  <c r="W71" i="1"/>
  <c r="W72" i="1"/>
  <c r="W73" i="1"/>
  <c r="W74" i="1"/>
  <c r="W75" i="1"/>
  <c r="W76" i="1"/>
  <c r="W77" i="1"/>
  <c r="W78" i="1"/>
  <c r="W79" i="1"/>
  <c r="W80" i="1"/>
  <c r="W81" i="1"/>
  <c r="W82" i="1"/>
  <c r="W83" i="1"/>
  <c r="W84" i="1"/>
  <c r="W85" i="1"/>
  <c r="W86" i="1"/>
  <c r="W87" i="1"/>
  <c r="W88" i="1"/>
  <c r="W89" i="1"/>
  <c r="W90" i="1"/>
  <c r="W91" i="1"/>
  <c r="W92" i="1"/>
  <c r="W93" i="1"/>
  <c r="W94" i="1"/>
  <c r="W95" i="1"/>
  <c r="W96" i="1"/>
  <c r="W97" i="1"/>
  <c r="W98" i="1"/>
  <c r="W99" i="1"/>
  <c r="W100" i="1"/>
  <c r="W101" i="1"/>
  <c r="W102" i="1"/>
  <c r="W103" i="1"/>
  <c r="W104" i="1"/>
  <c r="W105" i="1"/>
  <c r="W106" i="1"/>
  <c r="W107" i="1"/>
  <c r="W108" i="1"/>
  <c r="W109" i="1"/>
  <c r="W110" i="1"/>
  <c r="W111" i="1"/>
  <c r="W112" i="1"/>
  <c r="W113" i="1"/>
  <c r="W114" i="1"/>
  <c r="W115" i="1"/>
  <c r="W116" i="1"/>
  <c r="W117" i="1"/>
  <c r="W118" i="1"/>
  <c r="W119" i="1"/>
  <c r="W120" i="1"/>
  <c r="W121" i="1"/>
  <c r="W122" i="1"/>
  <c r="W123" i="1"/>
  <c r="W124" i="1"/>
  <c r="W125" i="1"/>
  <c r="W126" i="1"/>
  <c r="W127" i="1"/>
  <c r="W128" i="1"/>
  <c r="W129" i="1"/>
  <c r="W130" i="1"/>
  <c r="W131" i="1"/>
  <c r="W132" i="1"/>
  <c r="W133" i="1"/>
  <c r="W134" i="1"/>
  <c r="W135" i="1"/>
  <c r="W136" i="1"/>
  <c r="W137" i="1"/>
  <c r="W138" i="1"/>
  <c r="W139" i="1"/>
  <c r="W140" i="1"/>
  <c r="W141" i="1"/>
  <c r="W142" i="1"/>
  <c r="W143" i="1"/>
  <c r="W144" i="1"/>
  <c r="W145" i="1"/>
  <c r="W146" i="1"/>
  <c r="W147" i="1"/>
  <c r="W148" i="1"/>
  <c r="W149" i="1"/>
  <c r="W150" i="1"/>
  <c r="W151" i="1"/>
  <c r="W152" i="1"/>
  <c r="W153" i="1"/>
  <c r="W154" i="1"/>
  <c r="W155" i="1"/>
  <c r="W156" i="1"/>
  <c r="W157" i="1"/>
  <c r="W158" i="1"/>
  <c r="W159" i="1"/>
  <c r="W160" i="1"/>
  <c r="W161" i="1"/>
  <c r="W162" i="1"/>
  <c r="W163" i="1"/>
  <c r="W164" i="1"/>
  <c r="W165" i="1"/>
  <c r="W166" i="1"/>
  <c r="W167" i="1"/>
  <c r="W168" i="1"/>
  <c r="W169" i="1"/>
  <c r="W170" i="1"/>
  <c r="W171" i="1"/>
  <c r="W172" i="1"/>
  <c r="W173" i="1"/>
  <c r="W174" i="1"/>
  <c r="W175" i="1"/>
  <c r="W176" i="1"/>
  <c r="W177" i="1"/>
  <c r="W178" i="1"/>
  <c r="W179" i="1"/>
  <c r="W180" i="1"/>
  <c r="W181" i="1"/>
  <c r="W182" i="1"/>
  <c r="W183" i="1"/>
  <c r="W184" i="1"/>
  <c r="W185" i="1"/>
  <c r="W186" i="1"/>
  <c r="W187" i="1"/>
  <c r="W188" i="1"/>
  <c r="W189" i="1"/>
  <c r="W190" i="1"/>
  <c r="W191" i="1"/>
  <c r="W192" i="1"/>
  <c r="W193" i="1"/>
  <c r="W194" i="1"/>
  <c r="W195" i="1"/>
  <c r="W196" i="1"/>
  <c r="W197" i="1"/>
  <c r="W198" i="1"/>
  <c r="W199" i="1"/>
  <c r="W200" i="1"/>
  <c r="W2" i="1"/>
  <c r="V3" i="1"/>
  <c r="V4" i="1"/>
  <c r="V5" i="1"/>
  <c r="V6" i="1"/>
  <c r="V7" i="1"/>
  <c r="V8" i="1"/>
  <c r="V9" i="1"/>
  <c r="V10" i="1"/>
  <c r="V11" i="1"/>
  <c r="V12" i="1"/>
  <c r="V13" i="1"/>
  <c r="V14" i="1"/>
  <c r="V15" i="1"/>
  <c r="V16" i="1"/>
  <c r="V17" i="1"/>
  <c r="V18" i="1"/>
  <c r="V19" i="1"/>
  <c r="V20" i="1"/>
  <c r="V21" i="1"/>
  <c r="V22" i="1"/>
  <c r="V23" i="1"/>
  <c r="V24" i="1"/>
  <c r="V25" i="1"/>
  <c r="V26" i="1"/>
  <c r="V27" i="1"/>
  <c r="V28" i="1"/>
  <c r="V29" i="1"/>
  <c r="V30" i="1"/>
  <c r="V31" i="1"/>
  <c r="V32" i="1"/>
  <c r="V33" i="1"/>
  <c r="V34" i="1"/>
  <c r="V35" i="1"/>
  <c r="V36" i="1"/>
  <c r="V37" i="1"/>
  <c r="V38" i="1"/>
  <c r="V39" i="1"/>
  <c r="V40" i="1"/>
  <c r="V41" i="1"/>
  <c r="V42" i="1"/>
  <c r="V43" i="1"/>
  <c r="V44" i="1"/>
  <c r="V45" i="1"/>
  <c r="V46" i="1"/>
  <c r="V47" i="1"/>
  <c r="V48" i="1"/>
  <c r="V49" i="1"/>
  <c r="V50" i="1"/>
  <c r="V51" i="1"/>
  <c r="V52" i="1"/>
  <c r="V53" i="1"/>
  <c r="V54" i="1"/>
  <c r="V55" i="1"/>
  <c r="V56" i="1"/>
  <c r="V57" i="1"/>
  <c r="V58" i="1"/>
  <c r="V59" i="1"/>
  <c r="V60" i="1"/>
  <c r="V61" i="1"/>
  <c r="V62" i="1"/>
  <c r="V63" i="1"/>
  <c r="V64" i="1"/>
  <c r="V65" i="1"/>
  <c r="V66" i="1"/>
  <c r="V67" i="1"/>
  <c r="V68" i="1"/>
  <c r="V69" i="1"/>
  <c r="V70" i="1"/>
  <c r="V71" i="1"/>
  <c r="V72" i="1"/>
  <c r="V73" i="1"/>
  <c r="V74" i="1"/>
  <c r="V75" i="1"/>
  <c r="V76" i="1"/>
  <c r="V77" i="1"/>
  <c r="V78" i="1"/>
  <c r="V79" i="1"/>
  <c r="V80" i="1"/>
  <c r="V81" i="1"/>
  <c r="V82" i="1"/>
  <c r="V83" i="1"/>
  <c r="V84" i="1"/>
  <c r="V85" i="1"/>
  <c r="V86" i="1"/>
  <c r="V87" i="1"/>
  <c r="V88" i="1"/>
  <c r="V89" i="1"/>
  <c r="V90" i="1"/>
  <c r="V91" i="1"/>
  <c r="V92" i="1"/>
  <c r="V93" i="1"/>
  <c r="V94" i="1"/>
  <c r="V95" i="1"/>
  <c r="V96" i="1"/>
  <c r="V97" i="1"/>
  <c r="V98" i="1"/>
  <c r="V99" i="1"/>
  <c r="V100" i="1"/>
  <c r="V101" i="1"/>
  <c r="V102" i="1"/>
  <c r="V103" i="1"/>
  <c r="V104" i="1"/>
  <c r="V105" i="1"/>
  <c r="V106" i="1"/>
  <c r="V107" i="1"/>
  <c r="V108" i="1"/>
  <c r="V109" i="1"/>
  <c r="V110" i="1"/>
  <c r="V111" i="1"/>
  <c r="V112" i="1"/>
  <c r="V113" i="1"/>
  <c r="V114" i="1"/>
  <c r="V115" i="1"/>
  <c r="V116" i="1"/>
  <c r="V117" i="1"/>
  <c r="V118" i="1"/>
  <c r="V119" i="1"/>
  <c r="V120" i="1"/>
  <c r="V121" i="1"/>
  <c r="V122" i="1"/>
  <c r="V123" i="1"/>
  <c r="V124" i="1"/>
  <c r="V125" i="1"/>
  <c r="V126" i="1"/>
  <c r="V127" i="1"/>
  <c r="V128" i="1"/>
  <c r="V129" i="1"/>
  <c r="V130" i="1"/>
  <c r="V131" i="1"/>
  <c r="V132" i="1"/>
  <c r="V133" i="1"/>
  <c r="V134" i="1"/>
  <c r="V135" i="1"/>
  <c r="V136" i="1"/>
  <c r="V137" i="1"/>
  <c r="V138" i="1"/>
  <c r="V139" i="1"/>
  <c r="V140" i="1"/>
  <c r="V141" i="1"/>
  <c r="V142" i="1"/>
  <c r="V143" i="1"/>
  <c r="V144" i="1"/>
  <c r="V145" i="1"/>
  <c r="V146" i="1"/>
  <c r="V147" i="1"/>
  <c r="V148" i="1"/>
  <c r="V149" i="1"/>
  <c r="V150" i="1"/>
  <c r="V151" i="1"/>
  <c r="V152" i="1"/>
  <c r="V153" i="1"/>
  <c r="V154" i="1"/>
  <c r="V155" i="1"/>
  <c r="V156" i="1"/>
  <c r="V157" i="1"/>
  <c r="V158" i="1"/>
  <c r="V159" i="1"/>
  <c r="V160" i="1"/>
  <c r="V161" i="1"/>
  <c r="V162" i="1"/>
  <c r="V163" i="1"/>
  <c r="V164" i="1"/>
  <c r="V165" i="1"/>
  <c r="V166" i="1"/>
  <c r="V167" i="1"/>
  <c r="V168" i="1"/>
  <c r="V169" i="1"/>
  <c r="V170" i="1"/>
  <c r="V171" i="1"/>
  <c r="V172" i="1"/>
  <c r="V173" i="1"/>
  <c r="V174" i="1"/>
  <c r="V175" i="1"/>
  <c r="V176" i="1"/>
  <c r="V177" i="1"/>
  <c r="V178" i="1"/>
  <c r="V179" i="1"/>
  <c r="V180" i="1"/>
  <c r="V181" i="1"/>
  <c r="V182" i="1"/>
  <c r="V183" i="1"/>
  <c r="V184" i="1"/>
  <c r="V185" i="1"/>
  <c r="V186" i="1"/>
  <c r="V187" i="1"/>
  <c r="V188" i="1"/>
  <c r="V189" i="1"/>
  <c r="V190" i="1"/>
  <c r="V191" i="1"/>
  <c r="V192" i="1"/>
  <c r="V193" i="1"/>
  <c r="V194" i="1"/>
  <c r="V195" i="1"/>
  <c r="V196" i="1"/>
  <c r="V197" i="1"/>
  <c r="V198" i="1"/>
  <c r="V199" i="1"/>
  <c r="V200" i="1"/>
  <c r="V2" i="1"/>
</calcChain>
</file>

<file path=xl/sharedStrings.xml><?xml version="1.0" encoding="utf-8"?>
<sst xmlns="http://schemas.openxmlformats.org/spreadsheetml/2006/main" count="2055" uniqueCount="1161">
  <si>
    <t>Tên bệnh viện</t>
  </si>
  <si>
    <t>Loại bệnh viện</t>
  </si>
  <si>
    <t>Giờ khám ngày thường</t>
  </si>
  <si>
    <t>Giờ khám ngày lễ và cuối tuần</t>
  </si>
  <si>
    <t>Đăng ký khám trực tuyến</t>
  </si>
  <si>
    <t>Thời gian khám trung bình</t>
  </si>
  <si>
    <t>Số địa chỉ</t>
  </si>
  <si>
    <t>Tên đường</t>
  </si>
  <si>
    <t>Tỉnh / Thành phố</t>
  </si>
  <si>
    <t>Quận / Huyện / Thị xã</t>
  </si>
  <si>
    <t>Phường / Xã</t>
  </si>
  <si>
    <t>Thành phố</t>
  </si>
  <si>
    <t>Hồ Chí Minh</t>
  </si>
  <si>
    <t>10</t>
  </si>
  <si>
    <t>2</t>
  </si>
  <si>
    <t>3</t>
  </si>
  <si>
    <t>Bình Chánh</t>
  </si>
  <si>
    <t>Bình Tân</t>
  </si>
  <si>
    <t>Bình Thạnh</t>
  </si>
  <si>
    <t>Cần Giờ</t>
  </si>
  <si>
    <t>Củ Chi</t>
  </si>
  <si>
    <t>Gò Vấp</t>
  </si>
  <si>
    <t>Hóc Môn</t>
  </si>
  <si>
    <t>Nhà Bè</t>
  </si>
  <si>
    <t>Phú Nhuận</t>
  </si>
  <si>
    <t>Tân Bình</t>
  </si>
  <si>
    <t>Tân Phú</t>
  </si>
  <si>
    <t>Thủ Đức</t>
  </si>
  <si>
    <t>Số điện thoại chính</t>
  </si>
  <si>
    <t>Số điện thoại thay thế</t>
  </si>
  <si>
    <t>Số di động</t>
  </si>
  <si>
    <t>Số fax</t>
  </si>
  <si>
    <t>Chuyên Khoa</t>
  </si>
  <si>
    <t>Bệnh thường gặp</t>
  </si>
  <si>
    <t>Bệnh tình dục</t>
  </si>
  <si>
    <t>Bệnh truyền nhiễm</t>
  </si>
  <si>
    <t>Cấp cứu</t>
  </si>
  <si>
    <t>Chấn thương chỉnh hình</t>
  </si>
  <si>
    <t>Chuẩn đoán hình ảnh</t>
  </si>
  <si>
    <t>Da liễu</t>
  </si>
  <si>
    <t>Di truyền</t>
  </si>
  <si>
    <t>Điều dưỡng</t>
  </si>
  <si>
    <t>Dinh dưỡng</t>
  </si>
  <si>
    <t>Dược</t>
  </si>
  <si>
    <t>Gây mê</t>
  </si>
  <si>
    <t>Hô hấp</t>
  </si>
  <si>
    <t>Hóa sinh</t>
  </si>
  <si>
    <t>Hồi sức</t>
  </si>
  <si>
    <t>Huyết học</t>
  </si>
  <si>
    <t>Nam khoa</t>
  </si>
  <si>
    <t>Ngoại hô hấp</t>
  </si>
  <si>
    <t>Ngoại tổng hợp</t>
  </si>
  <si>
    <t>Ngoại tổng quát</t>
  </si>
  <si>
    <t>Nha khoa</t>
  </si>
  <si>
    <t>Nhi khoa</t>
  </si>
  <si>
    <t>Nội soi</t>
  </si>
  <si>
    <t>Nội tiết</t>
  </si>
  <si>
    <t>Nội tiết và đường máu</t>
  </si>
  <si>
    <t>Nội tim mạch</t>
  </si>
  <si>
    <t>Nội tổng hợp</t>
  </si>
  <si>
    <t>Nội tổng quát</t>
  </si>
  <si>
    <t>Mắt</t>
  </si>
  <si>
    <t>Phẫu thuật thẩm mỹ</t>
  </si>
  <si>
    <t>Phẫu thuật</t>
  </si>
  <si>
    <t>Phục hồi chức năng</t>
  </si>
  <si>
    <t>Răng - Hàm - Mặt</t>
  </si>
  <si>
    <t>Sản khoa - Phụ khoa</t>
  </si>
  <si>
    <t>Sinh hóa</t>
  </si>
  <si>
    <t>Sinh lý sinh sản</t>
  </si>
  <si>
    <t>Tai - Mũi - Họng</t>
  </si>
  <si>
    <t>Thần kinh</t>
  </si>
  <si>
    <t>Thận nội tiết</t>
  </si>
  <si>
    <t>Thận tiết niệu</t>
  </si>
  <si>
    <t>Tiết niệu</t>
  </si>
  <si>
    <t>Tiêu hóa - Gan - Mật</t>
  </si>
  <si>
    <t>Tim mạch</t>
  </si>
  <si>
    <t>Tư vấn tâm lý - Tâm thần</t>
  </si>
  <si>
    <t>Ung bướu</t>
  </si>
  <si>
    <t>Vật lý trị liệu</t>
  </si>
  <si>
    <t>Vi sinh</t>
  </si>
  <si>
    <t>Xét nghiệm</t>
  </si>
  <si>
    <t>Xương khớp</t>
  </si>
  <si>
    <t>Y học cổ truyền</t>
  </si>
  <si>
    <t>Y học hạt nhân</t>
  </si>
  <si>
    <t>Y học thể thao</t>
  </si>
  <si>
    <t>Value</t>
  </si>
  <si>
    <t>27160</t>
  </si>
  <si>
    <t>27157</t>
  </si>
  <si>
    <t>27154</t>
  </si>
  <si>
    <t>27148</t>
  </si>
  <si>
    <t>27151</t>
  </si>
  <si>
    <t>27139</t>
  </si>
  <si>
    <t>27124</t>
  </si>
  <si>
    <t>27121</t>
  </si>
  <si>
    <t>27142</t>
  </si>
  <si>
    <t>27145</t>
  </si>
  <si>
    <t>27133</t>
  </si>
  <si>
    <t>27130</t>
  </si>
  <si>
    <t>27136</t>
  </si>
  <si>
    <t>27127</t>
  </si>
  <si>
    <t>27298</t>
  </si>
  <si>
    <t>27292</t>
  </si>
  <si>
    <t>27286</t>
  </si>
  <si>
    <t>27283</t>
  </si>
  <si>
    <t>27274</t>
  </si>
  <si>
    <t>27265</t>
  </si>
  <si>
    <t>27268</t>
  </si>
  <si>
    <t>27262</t>
  </si>
  <si>
    <t>27271</t>
  </si>
  <si>
    <t>27256</t>
  </si>
  <si>
    <t>27259</t>
  </si>
  <si>
    <t>27280</t>
  </si>
  <si>
    <t>27295</t>
  </si>
  <si>
    <t>27289</t>
  </si>
  <si>
    <t>27277</t>
  </si>
  <si>
    <t>27325</t>
  </si>
  <si>
    <t>27313</t>
  </si>
  <si>
    <t>27307</t>
  </si>
  <si>
    <t>27301</t>
  </si>
  <si>
    <t>27334</t>
  </si>
  <si>
    <t>27337</t>
  </si>
  <si>
    <t>27322</t>
  </si>
  <si>
    <t>27316</t>
  </si>
  <si>
    <t>27304</t>
  </si>
  <si>
    <t>27340</t>
  </si>
  <si>
    <t>27328</t>
  </si>
  <si>
    <t>27310</t>
  </si>
  <si>
    <t>27343</t>
  </si>
  <si>
    <t>27331</t>
  </si>
  <si>
    <t>27319</t>
  </si>
  <si>
    <t>27370</t>
  </si>
  <si>
    <t>27367</t>
  </si>
  <si>
    <t>27379</t>
  </si>
  <si>
    <t>27373</t>
  </si>
  <si>
    <t>27361</t>
  </si>
  <si>
    <t>27355</t>
  </si>
  <si>
    <t>27382</t>
  </si>
  <si>
    <t>27376</t>
  </si>
  <si>
    <t>27352</t>
  </si>
  <si>
    <t>27385</t>
  </si>
  <si>
    <t>27364</t>
  </si>
  <si>
    <t>27358</t>
  </si>
  <si>
    <t>27349</t>
  </si>
  <si>
    <t>27346</t>
  </si>
  <si>
    <t>27394</t>
  </si>
  <si>
    <t>27391</t>
  </si>
  <si>
    <t>27397</t>
  </si>
  <si>
    <t>27409</t>
  </si>
  <si>
    <t>27418</t>
  </si>
  <si>
    <t>27424</t>
  </si>
  <si>
    <t>27433</t>
  </si>
  <si>
    <t>27388</t>
  </si>
  <si>
    <t>27403</t>
  </si>
  <si>
    <t>27406</t>
  </si>
  <si>
    <t>27400</t>
  </si>
  <si>
    <t>27415</t>
  </si>
  <si>
    <t>27412</t>
  </si>
  <si>
    <t>27421</t>
  </si>
  <si>
    <t>27427</t>
  </si>
  <si>
    <t>27430</t>
  </si>
  <si>
    <t>27184</t>
  </si>
  <si>
    <t>27190</t>
  </si>
  <si>
    <t>27205</t>
  </si>
  <si>
    <t>27193</t>
  </si>
  <si>
    <t>27199</t>
  </si>
  <si>
    <t>27202</t>
  </si>
  <si>
    <t>27196</t>
  </si>
  <si>
    <t>27187</t>
  </si>
  <si>
    <t>27181</t>
  </si>
  <si>
    <t>27178</t>
  </si>
  <si>
    <t>27175</t>
  </si>
  <si>
    <t>27172</t>
  </si>
  <si>
    <t>27166</t>
  </si>
  <si>
    <t>27169</t>
  </si>
  <si>
    <t>27163</t>
  </si>
  <si>
    <t>27247</t>
  </si>
  <si>
    <t>27250</t>
  </si>
  <si>
    <t>27220</t>
  </si>
  <si>
    <t>27244</t>
  </si>
  <si>
    <t>27211</t>
  </si>
  <si>
    <t>27241</t>
  </si>
  <si>
    <t>27238</t>
  </si>
  <si>
    <t>27229</t>
  </si>
  <si>
    <t>27232</t>
  </si>
  <si>
    <t>27223</t>
  </si>
  <si>
    <t>27217</t>
  </si>
  <si>
    <t>27235</t>
  </si>
  <si>
    <t>27226</t>
  </si>
  <si>
    <t>27214</t>
  </si>
  <si>
    <t>27208</t>
  </si>
  <si>
    <t>27253</t>
  </si>
  <si>
    <t>26944</t>
  </si>
  <si>
    <t>26941</t>
  </si>
  <si>
    <t>26947</t>
  </si>
  <si>
    <t>26923</t>
  </si>
  <si>
    <t>26932</t>
  </si>
  <si>
    <t>26926</t>
  </si>
  <si>
    <t>26908</t>
  </si>
  <si>
    <t>26917</t>
  </si>
  <si>
    <t>26905</t>
  </si>
  <si>
    <t>26935</t>
  </si>
  <si>
    <t>26938</t>
  </si>
  <si>
    <t>26950</t>
  </si>
  <si>
    <t>26959</t>
  </si>
  <si>
    <t>26953</t>
  </si>
  <si>
    <t>26956</t>
  </si>
  <si>
    <t>26929</t>
  </si>
  <si>
    <t>26920</t>
  </si>
  <si>
    <t>26914</t>
  </si>
  <si>
    <t>26911</t>
  </si>
  <si>
    <t>26962</t>
  </si>
  <si>
    <t>26896</t>
  </si>
  <si>
    <t>26902</t>
  </si>
  <si>
    <t>26893</t>
  </si>
  <si>
    <t>26887</t>
  </si>
  <si>
    <t>26890</t>
  </si>
  <si>
    <t>26884</t>
  </si>
  <si>
    <t>26899</t>
  </si>
  <si>
    <t>26881</t>
  </si>
  <si>
    <t>26872</t>
  </si>
  <si>
    <t>26882</t>
  </si>
  <si>
    <t>26869</t>
  </si>
  <si>
    <t>26878</t>
  </si>
  <si>
    <t>26875</t>
  </si>
  <si>
    <t>26876</t>
  </si>
  <si>
    <t>26898</t>
  </si>
  <si>
    <t>26897</t>
  </si>
  <si>
    <t>27058</t>
  </si>
  <si>
    <t>27061</t>
  </si>
  <si>
    <t>27055</t>
  </si>
  <si>
    <t>27043</t>
  </si>
  <si>
    <t>27046</t>
  </si>
  <si>
    <t>27052</t>
  </si>
  <si>
    <t>27064</t>
  </si>
  <si>
    <t>27049</t>
  </si>
  <si>
    <t>27070</t>
  </si>
  <si>
    <t>27073</t>
  </si>
  <si>
    <t>27082</t>
  </si>
  <si>
    <t>27085</t>
  </si>
  <si>
    <t>27079</t>
  </si>
  <si>
    <t>27067</t>
  </si>
  <si>
    <t>27076</t>
  </si>
  <si>
    <t>26977</t>
  </si>
  <si>
    <t>26965</t>
  </si>
  <si>
    <t>26980</t>
  </si>
  <si>
    <t>26968</t>
  </si>
  <si>
    <t>26989</t>
  </si>
  <si>
    <t>26995</t>
  </si>
  <si>
    <t>26986</t>
  </si>
  <si>
    <t>26998</t>
  </si>
  <si>
    <t>27001</t>
  </si>
  <si>
    <t>26992</t>
  </si>
  <si>
    <t>26983</t>
  </si>
  <si>
    <t>26971</t>
  </si>
  <si>
    <t>26974</t>
  </si>
  <si>
    <t>27004</t>
  </si>
  <si>
    <t>27007</t>
  </si>
  <si>
    <t>Dịch vụ</t>
  </si>
  <si>
    <t>Khám bệnh bảo hiểm y tế</t>
  </si>
  <si>
    <t>Khám bệnh dịch vụ</t>
  </si>
  <si>
    <t>Khám sức khỏe tổng quát</t>
  </si>
  <si>
    <t>Cấp cứu khẩn cấp</t>
  </si>
  <si>
    <t>Tiếp nhận bệnh nhân mới</t>
  </si>
  <si>
    <t>Chấp nhận bệnh nhân chuyển lên từ tuyến dưới</t>
  </si>
  <si>
    <t>Chăm sóc thay thế cho thân nhân</t>
  </si>
  <si>
    <t>Nút bấm gọi khẩn cấp</t>
  </si>
  <si>
    <t>Bình dưỡng khí</t>
  </si>
  <si>
    <t>Cho phép thú nuôi</t>
  </si>
  <si>
    <t>Cho phép tự nấu nướng</t>
  </si>
  <si>
    <t>Bảo vệ an ninh</t>
  </si>
  <si>
    <t>Truyền thông đa phương tiện</t>
  </si>
  <si>
    <t>Dễ tiếp cận các phương tiện công cộng</t>
  </si>
  <si>
    <t>Xe đưa đón tận nhà</t>
  </si>
  <si>
    <t>Kết nối Internet</t>
  </si>
  <si>
    <t>Chăm sóc y tế tại gia</t>
  </si>
  <si>
    <t>Theo dõi từ xa qua hệ thống máy quay</t>
  </si>
  <si>
    <t>Tư vấn chế độ ăn uống</t>
  </si>
  <si>
    <t>Kiểm tra tình hình sức khỏe định kỳ</t>
  </si>
  <si>
    <t>Chăm sóc cho người già</t>
  </si>
  <si>
    <t>Chăm sóc nhà cửa và các dịch vụ liên quan</t>
  </si>
  <si>
    <t>TV riêng</t>
  </si>
  <si>
    <t>Tủ lạnh riêng</t>
  </si>
  <si>
    <t>Điều hòa</t>
  </si>
  <si>
    <t>Phòng vệ sinh riêng</t>
  </si>
  <si>
    <t>Đường dây điện thoại riêng</t>
  </si>
  <si>
    <t>Phục vụ đồ ăn sáng, trưa, tối</t>
  </si>
  <si>
    <t>Liên lạc trực tiếp với nhân viên trực</t>
  </si>
  <si>
    <t>Đặt lịch khám qua tổng đài 1080</t>
  </si>
  <si>
    <t>Đặt lịch khám qua mạng</t>
  </si>
  <si>
    <t>Cơ sở vật chất</t>
  </si>
  <si>
    <t>Bãi giữ xe đạp</t>
  </si>
  <si>
    <t>Bãi giữ xe máy</t>
  </si>
  <si>
    <t>Bãi giữ xe ô tô</t>
  </si>
  <si>
    <t>Chỗ đậu xe cho người khuyết tật</t>
  </si>
  <si>
    <t>Đường đi riêng cho người khuyết tật</t>
  </si>
  <si>
    <t>Nhà vệ sinh cho người khuyết tật</t>
  </si>
  <si>
    <t>Khu vui chơi thiếu nhi</t>
  </si>
  <si>
    <t>Thư viện tra cứu thông tin</t>
  </si>
  <si>
    <t>Quán café</t>
  </si>
  <si>
    <t>Khu ăn uống</t>
  </si>
  <si>
    <t>Khu dành riêng cho người hút thuốc</t>
  </si>
  <si>
    <t>Khu nghỉ ngơi cho người nuôi bệnh</t>
  </si>
  <si>
    <t>Khu vực cây xanh</t>
  </si>
  <si>
    <t>Khu vực rèn luyện sức khỏe</t>
  </si>
  <si>
    <t>Đặt lịch khám Onine</t>
  </si>
  <si>
    <t>Kết nối không dây</t>
  </si>
  <si>
    <t>Truy cập máy vi tính</t>
  </si>
  <si>
    <t>Điện thoại công cộng</t>
  </si>
  <si>
    <t>Tra cứu thông tin trực tuyến</t>
  </si>
  <si>
    <t>Thông báo tái khám qua tin nhắn</t>
  </si>
  <si>
    <t>Bệnh viện công</t>
  </si>
  <si>
    <t>Bệnh viện quốc tế</t>
  </si>
  <si>
    <t>Bệnh viện thẩm mỹ</t>
  </si>
  <si>
    <t>Bệnh viện thú y</t>
  </si>
  <si>
    <t>Bệnh viện tư nhân</t>
  </si>
  <si>
    <t>Nhà thuốc</t>
  </si>
  <si>
    <t>Phòng khám tư nhân</t>
  </si>
  <si>
    <t>Trung tâm y tế</t>
  </si>
  <si>
    <t>Type_ID</t>
  </si>
  <si>
    <t>City_ID</t>
  </si>
  <si>
    <t>District_ID</t>
  </si>
  <si>
    <t>Ward_ID</t>
  </si>
  <si>
    <t>Địa chỉ email</t>
  </si>
  <si>
    <t>Địa chỉ trang web</t>
  </si>
  <si>
    <t>Chuyên khoa</t>
  </si>
  <si>
    <t>Tạp hóa</t>
  </si>
  <si>
    <t>Từ khóa tìm kiếm</t>
  </si>
  <si>
    <t>Quận 1</t>
  </si>
  <si>
    <t>Quận 10</t>
  </si>
  <si>
    <t>Quận 11</t>
  </si>
  <si>
    <t>Quận 12</t>
  </si>
  <si>
    <t>Quận 2</t>
  </si>
  <si>
    <t>Quận 3</t>
  </si>
  <si>
    <t>Quận 4</t>
  </si>
  <si>
    <t>Quận 5</t>
  </si>
  <si>
    <t>Quận 6</t>
  </si>
  <si>
    <t>Quận 7</t>
  </si>
  <si>
    <t>Quận 8</t>
  </si>
  <si>
    <t>Quận 9</t>
  </si>
  <si>
    <t>Quận Bình Tân</t>
  </si>
  <si>
    <t>Quận Bình Thạnh</t>
  </si>
  <si>
    <t>Quận Gò Vấp</t>
  </si>
  <si>
    <t>Quận Phú Nhuận</t>
  </si>
  <si>
    <t>Quận Tân Bình</t>
  </si>
  <si>
    <t>Quận Tân Phú</t>
  </si>
  <si>
    <t>Quận Thủ Đức</t>
  </si>
  <si>
    <t>Phường Bến Nghé</t>
  </si>
  <si>
    <t>Phường Bến Thành</t>
  </si>
  <si>
    <t>Phường Cầu Kho</t>
  </si>
  <si>
    <t>Phường Cầu Ông Lãnh</t>
  </si>
  <si>
    <t>Phường Cô Giang</t>
  </si>
  <si>
    <t>Phường Đa Kao</t>
  </si>
  <si>
    <t>Phường Nguyễn Cư Trinh</t>
  </si>
  <si>
    <t>Phường Nguyễn Thái Bình</t>
  </si>
  <si>
    <t>Phường Phạm Ngũ Lão</t>
  </si>
  <si>
    <t>Phường Tân Định</t>
  </si>
  <si>
    <t>Phường An Khánh</t>
  </si>
  <si>
    <t>Phường An Lợi Đông</t>
  </si>
  <si>
    <t>Phường An Phú</t>
  </si>
  <si>
    <t>Phường Bình An</t>
  </si>
  <si>
    <t>Phường Bình Khánh</t>
  </si>
  <si>
    <t>Phường Bình Trưng Đông</t>
  </si>
  <si>
    <t>Phường Bình Trưng Tây</t>
  </si>
  <si>
    <t>Phường Cát Lái</t>
  </si>
  <si>
    <t>Phường Thạnh Mỹ Lợi</t>
  </si>
  <si>
    <t>Phường Thảo Điền</t>
  </si>
  <si>
    <t>Phường Thủ Thiêm</t>
  </si>
  <si>
    <t>Phường 01</t>
  </si>
  <si>
    <t>Phường 02</t>
  </si>
  <si>
    <t>Phường 03</t>
  </si>
  <si>
    <t>Phường 04</t>
  </si>
  <si>
    <t>Phường 05</t>
  </si>
  <si>
    <t>Phường 06</t>
  </si>
  <si>
    <t>Phường 07</t>
  </si>
  <si>
    <t>Phường 08</t>
  </si>
  <si>
    <t>Phường 09</t>
  </si>
  <si>
    <t>Phường 10</t>
  </si>
  <si>
    <t>Phường 11</t>
  </si>
  <si>
    <t>Phường 12</t>
  </si>
  <si>
    <t>Phường 13</t>
  </si>
  <si>
    <t>Phường 14</t>
  </si>
  <si>
    <t>Phường 15</t>
  </si>
  <si>
    <t>Phường 16</t>
  </si>
  <si>
    <t>Phường 18</t>
  </si>
  <si>
    <t>Phường Bình Thuận</t>
  </si>
  <si>
    <t>Phường Phú Mỹ</t>
  </si>
  <si>
    <t>Phường Phú Thuận</t>
  </si>
  <si>
    <t>Phường Tân Hưng</t>
  </si>
  <si>
    <t>Phường Tân Kiểng</t>
  </si>
  <si>
    <t>Phường Tân Phong</t>
  </si>
  <si>
    <t>Phường Tân Phú</t>
  </si>
  <si>
    <t>Phường Tân Quy</t>
  </si>
  <si>
    <t>Phường Tân Thuận Đông</t>
  </si>
  <si>
    <t>Phường Tân Thuận Tây</t>
  </si>
  <si>
    <t>Phường Hiệp Phú</t>
  </si>
  <si>
    <t>Phường Long Bình</t>
  </si>
  <si>
    <t>Phường Long Phước</t>
  </si>
  <si>
    <t>Phường Long Thạnh Mỹ</t>
  </si>
  <si>
    <t>Phường Long Trường</t>
  </si>
  <si>
    <t>Phường Phú Hữu</t>
  </si>
  <si>
    <t>Phường Phước Bình</t>
  </si>
  <si>
    <t>Phường Phước Long A</t>
  </si>
  <si>
    <t>Phường Phước Long B</t>
  </si>
  <si>
    <t>Phường Tăng Nhơn Phú A</t>
  </si>
  <si>
    <t>Phường Tăng Nhơn Phú B</t>
  </si>
  <si>
    <t>Phường Trường Thạnh</t>
  </si>
  <si>
    <t>Phường An Phú Đông</t>
  </si>
  <si>
    <t>Phường Đông Hưng Thuận</t>
  </si>
  <si>
    <t>Phường Hiệp Thành</t>
  </si>
  <si>
    <t>Phường Tân Chánh Hiệp</t>
  </si>
  <si>
    <t>Phường Tân Hưng Thuận</t>
  </si>
  <si>
    <t>Phường Tân Thới Hiệp</t>
  </si>
  <si>
    <t>Phường Tân Thới Nhất</t>
  </si>
  <si>
    <t>Phường Thạnh Lộc</t>
  </si>
  <si>
    <t>Phường Thạnh Xuân</t>
  </si>
  <si>
    <t>Phường Thới An</t>
  </si>
  <si>
    <t>Phường Trung Mỹ Tây</t>
  </si>
  <si>
    <t>Huyện Củ Chi</t>
  </si>
  <si>
    <t>Huyện Hóc Môn</t>
  </si>
  <si>
    <t>Huyện Bình Chánh</t>
  </si>
  <si>
    <t>Huyện Nhà Bè</t>
  </si>
  <si>
    <t>Huyện Cần Giờ</t>
  </si>
  <si>
    <t>Thị Trấn Tân Túc</t>
  </si>
  <si>
    <t>Xã An Phú Tây</t>
  </si>
  <si>
    <t>Xã Bình Chánh</t>
  </si>
  <si>
    <t>Xã Bình Hưng</t>
  </si>
  <si>
    <t>Xã Bình Lợi</t>
  </si>
  <si>
    <t>Xã Đa Phước</t>
  </si>
  <si>
    <t>Xã Hưng Long</t>
  </si>
  <si>
    <t>Xã Lê Minh Xuân</t>
  </si>
  <si>
    <t>Xã Phạm Văn Hai</t>
  </si>
  <si>
    <t>Xã Phong Phú</t>
  </si>
  <si>
    <t>Xã Quy Đức</t>
  </si>
  <si>
    <t>Xã Tân Kiên</t>
  </si>
  <si>
    <t>Xã Tân Nhựt</t>
  </si>
  <si>
    <t>Xã Tân Quý Tây</t>
  </si>
  <si>
    <t>Xã Vĩnh Lộc A</t>
  </si>
  <si>
    <t>Xã Vĩnh Lộc B</t>
  </si>
  <si>
    <t>Phường An Lạc</t>
  </si>
  <si>
    <t>Phường An Lạc A</t>
  </si>
  <si>
    <t>Phường Bình Hưng Hòa</t>
  </si>
  <si>
    <t>Phường Binh Hưng Hoà A</t>
  </si>
  <si>
    <t>Phường Binh Hưng Hoà B</t>
  </si>
  <si>
    <t>Phường Bình Trị Đông</t>
  </si>
  <si>
    <t>Phường Bình Trị Đông A</t>
  </si>
  <si>
    <t>Phường Bình Trị Đông B</t>
  </si>
  <si>
    <t>Phường Tân Tạo</t>
  </si>
  <si>
    <t>Phường Tân Tạo A</t>
  </si>
  <si>
    <t>Phường 17</t>
  </si>
  <si>
    <t>Phường 19</t>
  </si>
  <si>
    <t>Phường 21</t>
  </si>
  <si>
    <t>Phường 22</t>
  </si>
  <si>
    <t>Phường 24</t>
  </si>
  <si>
    <t>Phường 25</t>
  </si>
  <si>
    <t>Phường 26</t>
  </si>
  <si>
    <t>Phường 27</t>
  </si>
  <si>
    <t>Phường 28</t>
  </si>
  <si>
    <t>Thị Trấn Cần Thạnh</t>
  </si>
  <si>
    <t>Xã An Thới Đông</t>
  </si>
  <si>
    <t>Xã Bình Khánh</t>
  </si>
  <si>
    <t>Xã Long Hòa</t>
  </si>
  <si>
    <t>Xã Lý Nhơn</t>
  </si>
  <si>
    <t>Xã Tam Thôn Hiệp</t>
  </si>
  <si>
    <t>Xã Thạnh An</t>
  </si>
  <si>
    <t>Thị Trấn Củ Chi</t>
  </si>
  <si>
    <t>Xã An Nhơn Tây</t>
  </si>
  <si>
    <t>Xã An Phú</t>
  </si>
  <si>
    <t>Xã Bình Mỹ</t>
  </si>
  <si>
    <t>Xã Hòa Phú</t>
  </si>
  <si>
    <t>Xã Nhuận Đức</t>
  </si>
  <si>
    <t>Xã Phạm Văn Cội</t>
  </si>
  <si>
    <t>Xã Phú Hòa Đông</t>
  </si>
  <si>
    <t>Xã Phú Mỹ Hưng</t>
  </si>
  <si>
    <t>Xã Phước Hiệp</t>
  </si>
  <si>
    <t>Xã Phước Thạnh</t>
  </si>
  <si>
    <t>Xã Phước Vĩnh An</t>
  </si>
  <si>
    <t>Xã Tân An Hội</t>
  </si>
  <si>
    <t>Xã Tân Phú Trung</t>
  </si>
  <si>
    <t>Xã Tân Thạnh Đông</t>
  </si>
  <si>
    <t>Xã Tân Thạnh Tây</t>
  </si>
  <si>
    <t>Xã Tân Thông Hội</t>
  </si>
  <si>
    <t>Xã Thái Mỹ</t>
  </si>
  <si>
    <t>Xã Trung An</t>
  </si>
  <si>
    <t>Xã Trung Lập Hạ</t>
  </si>
  <si>
    <t>Xã Trung Lập Thượng</t>
  </si>
  <si>
    <t>Phường 6</t>
  </si>
  <si>
    <t>Phường 8</t>
  </si>
  <si>
    <t>Phường 9</t>
  </si>
  <si>
    <t>Thị Trấn Hóc Môn</t>
  </si>
  <si>
    <t>Xã Bà Điểm</t>
  </si>
  <si>
    <t>Xã Đông Thạnh</t>
  </si>
  <si>
    <t>Xã Nhị Bình</t>
  </si>
  <si>
    <t>Xã Tân Hiệp</t>
  </si>
  <si>
    <t>Xã Tân Thới Nhì</t>
  </si>
  <si>
    <t>Xã Tân Xuân</t>
  </si>
  <si>
    <t>Xã Thới Tam Thôn</t>
  </si>
  <si>
    <t>Xã Trung Chánh</t>
  </si>
  <si>
    <t>Xã Xuân Thới Đông</t>
  </si>
  <si>
    <t>Xã Xuân Thới Sơn</t>
  </si>
  <si>
    <t>Xã Xuân Thới Thượng</t>
  </si>
  <si>
    <t>Thị Trấn Nhà Bè</t>
  </si>
  <si>
    <t>Xã Hiệp Phước</t>
  </si>
  <si>
    <t>Xã Long Thới</t>
  </si>
  <si>
    <t>Xã Nhơn Đức</t>
  </si>
  <si>
    <t>Xã Phú Xuân</t>
  </si>
  <si>
    <t>Xã Phước Kiển</t>
  </si>
  <si>
    <t>Xã Phước Lộc</t>
  </si>
  <si>
    <t>Phường Hiệp Tân</t>
  </si>
  <si>
    <t>Phường Hoà Thạnh</t>
  </si>
  <si>
    <t>Phường Phú Thạnh</t>
  </si>
  <si>
    <t>Phường Phú Thọ Hoà</t>
  </si>
  <si>
    <t>Phường Phú Trung</t>
  </si>
  <si>
    <t>Phường Sơn Kỳ</t>
  </si>
  <si>
    <t>Phường Tân Quý</t>
  </si>
  <si>
    <t>Phường Tân Sơn Nhì</t>
  </si>
  <si>
    <t>Phường Tân Thành</t>
  </si>
  <si>
    <t>Phường Tân Thới Hoà</t>
  </si>
  <si>
    <t>Phường Tây Thạnh</t>
  </si>
  <si>
    <t>Phường Bình Chiểu</t>
  </si>
  <si>
    <t>Phường Bình Thọ</t>
  </si>
  <si>
    <t>Phường Hiệp Bình Chánh</t>
  </si>
  <si>
    <t>Phường Hiệp Bình Phước</t>
  </si>
  <si>
    <t>Phường Linh Chiểu</t>
  </si>
  <si>
    <t>Phường Linh Đông</t>
  </si>
  <si>
    <t>Phường Linh Tây</t>
  </si>
  <si>
    <t>Phường Linh Trung</t>
  </si>
  <si>
    <t>Phường Linh Xuân</t>
  </si>
  <si>
    <t>Phường Tam Bình</t>
  </si>
  <si>
    <t>Phường Tam Phú</t>
  </si>
  <si>
    <t>Phường Trường Thọ</t>
  </si>
  <si>
    <t>SOS International</t>
  </si>
  <si>
    <t>(08) 38298520</t>
  </si>
  <si>
    <t>(08) 38298551</t>
  </si>
  <si>
    <t>08:00 - 17:30</t>
  </si>
  <si>
    <t>65</t>
  </si>
  <si>
    <t>Nguyễn Du</t>
  </si>
  <si>
    <t>0902927388</t>
  </si>
  <si>
    <t>tnhan.cao@internationalsos.com</t>
  </si>
  <si>
    <t>Bãi giữ xe máy, Bãi giữ xe ô tô, Chỗ đậu xe cho người khuyết tật, Nhà vệ sinh cho người khuyết tật, Tra cứu thông tin trực tuyến, Thông báo tái khám qua tin nhắn</t>
  </si>
  <si>
    <t>34 Diamon Plaza</t>
  </si>
  <si>
    <t>Lê Duẩn</t>
  </si>
  <si>
    <t>(08) 37442000</t>
  </si>
  <si>
    <t>(08) 37446382</t>
  </si>
  <si>
    <t>(08) 38227848</t>
  </si>
  <si>
    <t>hcmc@vietnammedicalpractice.com</t>
  </si>
  <si>
    <t>d2.reception@@vietnammedicalpractice.com</t>
  </si>
  <si>
    <t>http://www.vietnammedicalpractice.com/vi</t>
  </si>
  <si>
    <t>95</t>
  </si>
  <si>
    <t>Thảo Điền</t>
  </si>
  <si>
    <t>Bệnh thường gặp, Cấp cứu, Tim mạch, Hô hấp, Nhi khoa, Hồi sức</t>
  </si>
  <si>
    <t>Bãi giữ xe máy, Bãi giữ xe ô tô, Chỗ đậu xe cho người khuyết tật, Đường đi riêng cho người khuyết tật, Nhà vệ sinh cho người khuyết tật, Khu vui chơi thiếu nhi, Khu nghỉ ngơi cho người nuôi bệnh, Tra cứu thông tin trực tuyến, Kết nối không dây</t>
  </si>
  <si>
    <t>(08) 38227859</t>
  </si>
  <si>
    <t>dịch vụ tốt, chuẩn quốc tế, cấp cứu, tim mạch, hô hấp, nhi khoa, international, emergency, high quality, good service, house call service, đa khoa, 24/7</t>
  </si>
  <si>
    <t>08:00 - 19:00</t>
  </si>
  <si>
    <t>dịch vụ tốt, chuẩn quốc tế, international, emergency, high quality, good service, cấp cứu, da liễu, tiêm chủng, huấn luyện y tế, bác sỹ gia đình, đa khoa, 24/7, doanh nghiệp, bảo hiểm, thanh toán trực tiếp, tiêm chủng, thủ tục nhanh, bảo hiểm y tế</t>
  </si>
  <si>
    <t>Bệnh viện đa khoa quốc tế Vũ Anh</t>
  </si>
  <si>
    <t>07:30 - 16:00</t>
  </si>
  <si>
    <t>15-16</t>
  </si>
  <si>
    <t>Phan Văn Trị</t>
  </si>
  <si>
    <t>(08) 39894989</t>
  </si>
  <si>
    <t>(08) 39894959</t>
  </si>
  <si>
    <t>http://www.benhvienvuanh.com.vn/</t>
  </si>
  <si>
    <t>http://www.internationalsos.com</t>
  </si>
  <si>
    <t>vuanhhospital@hotmail.com</t>
  </si>
  <si>
    <t>Khám bệnh dịch vụ, Kiểm tra tình hình sức khỏe định kỳ, Cấp cứu khẩn cấp, Xe đưa đón tận nhà, Chăm sóc y tế tại gia, Chăm sóc thay thế cho thân nhân, Chăm sóc cho người già, Tiếp nhận bệnh nhân mới</t>
  </si>
  <si>
    <t>Bãi giữ xe máy, Bãi giữ xe ô tô, Đường đi riêng cho người khuyết tật, Khu vui chơi thiếu nhi, Quán café, Khu ăn uống, Khu vực cây xanh, Truy cập máy vi tính, Điện thoại công cộng, Tra cứu thông tin trực tuyến, Kết nối không dây, Thông báo tái khám qua tin nhắn</t>
  </si>
  <si>
    <t>đa khoa, quốc tế, chuyên môn tốt, bác sỹ giỏi, hiện đại, thoáng mát, dịch vụ tốt, chuyên môn cao, tay nghề giỏi, có kinh nghiệm, chăm sóc tận tình, chi phí hợp lý, thủ tục nhanh gọn, đi lại thuận tiện, bảo vệ an ninh</t>
  </si>
  <si>
    <t>Bệnh viện Pháp Việt</t>
  </si>
  <si>
    <t>Tim mạch, Da liễu, Cấp cứu, Hồi sức, Tai - Mũi - Họng, Tiêu hóa - Gan - Mật, Nội tổng hợp, Nhi khoa, Vật lý trị liệu, Sản khoa - Phụ khoa, Mắt, Chấn thương chỉnh hình, Bệnh tình dục, Chuẩn đoán hình ảnh, Xét nghiệm, Bệnh thường gặp</t>
  </si>
  <si>
    <t>Nội tổng hợp, Ngoại tổng hợp, Sản khoa - Phụ khoa, Nhi khoa, Hồi sức, Xét nghiệm, Mắt, Vật lý trị liệu, Răng - Hàm - Mặt, Tai - Mũi - Họng, Nội tiết, Tiêu hóa - Gan - Mật, Tim mạch, Bệnh thường gặp</t>
  </si>
  <si>
    <t>6</t>
  </si>
  <si>
    <t>Nguyễn Lương Bằng</t>
  </si>
  <si>
    <t>(08) 54113500</t>
  </si>
  <si>
    <t>information@fvhospital.com</t>
  </si>
  <si>
    <t>http://www.fvhospital.com/vi</t>
  </si>
  <si>
    <t>08:00 - 18:00</t>
  </si>
  <si>
    <t>Bệnh thường gặp, Cấp cứu, Chuẩn đoán hình ảnh, Y học hạt nhân, Xét nghiệm, Dược, Tim mạch, Tiêu hóa - Gan - Mật, Gây mê, Hồi sức, Hô hấp, Nội tiết, Thần kinh, Nhi khoa, Chấn thương chỉnh hình, Phẫu thuật, Phục hồi chức năng, Sản khoa - Phụ khoa, Nha khoa, Nhi khoa, Răng - Hàm - Mặt, Tai - Mũi - Họng, Y học thể thao, Nam khoa, Tiết niệu, Vật lý trị liệu</t>
  </si>
  <si>
    <t>Đăng ký bảo hiểm y tế</t>
  </si>
  <si>
    <t>Đăng ký bảo hiểm y tế, Khám bệnh bảo hiểm y tế, Khám bệnh dịch vụ, Khám sức khỏe tổng quát, Kiểm tra tình hình sức khỏe định kỳ, Cấp cứu khẩn cấp, Chăm sóc cho người già, Chăm sóc y tế tại gia, Xe đưa đón tận nhà, TV riêng, Tủ lạnh riêng, Tư vấn chế độ ăn uống, Phòng vệ sinh riêng, Nút bấm gọi khẩn cấp, Điều hòa, Bình dưỡng khí, Tiếp nhận bệnh nhân mới</t>
  </si>
  <si>
    <t>Bảo vệ an ninh, Bình dưỡng khí, Đăng ký bảo hiểm y tế, Khám bệnh bảo hiểm y tế, Khám bệnh dịch vụ, Khám sức khỏe tổng quát, Kiểm tra tình hình sức khỏe định kỳ, Cấp cứu khẩn cấp, Nút bấm gọi khẩn cấp, TV riêng, Tủ lạnh riêng, Tiếp nhận bệnh nhân mới, Phòng vệ sinh riêng</t>
  </si>
  <si>
    <t>Đăng ký bảo hiểm y tế, Khám bệnh bảo hiểm y tế, Khám bệnh dịch vụ, Khám sức khỏe tổng quát, Kiểm tra tình hình sức khỏe định kỳ, Cấp cứu khẩn cấp, Bình dưỡng khí, TV riêng, Tủ lạnh riêng, Điều hòa, Đường dây điện thoại riêng, Nút bấm gọi khẩn cấp, Phòng vệ sinh riêng, Phục vụ đồ ăn sáng, trưa, tối, Tiếp nhận bệnh nhân mới</t>
  </si>
  <si>
    <t>Bãi giữ xe máy, Bãi giữ xe ô tô, Đường đi riêng cho người khuyết tật, Khu vực cây xanh, Khu vực rèn luyện sức khỏe, Khu vui chơi thiếu nhi, Nhà vệ sinh cho người khuyết tật, Quán café, Thư viện tra cứu thông tin, Truy cập máy vi tính, Thông báo tái khám qua tin nhắn</t>
  </si>
  <si>
    <t>đa khoa, cấp cứu, quốc tế, gần trung tâm thành phố, bác sỹ tận tâm, kinh nghiệm, đa quốc gia, cơ sở hiện đại, đảm bảo an ninh, thủ tục nhanh gọn, chi phí hợp lý, 24/7, theo dõi liên tục, khu đô thị mới, môi trường thoáng đãng, international, emerygency, high quality, thân thiện môi trường, thiếu nhi, đồ chơi, tổng đài điện hoại, công nghệ thông tin</t>
  </si>
  <si>
    <t>Phòng khám Columbia Asia</t>
  </si>
  <si>
    <t>08:00 - 17:00</t>
  </si>
  <si>
    <t>09:00 - 16:00</t>
  </si>
  <si>
    <t>8</t>
  </si>
  <si>
    <t>Alexandre De Rhodes</t>
  </si>
  <si>
    <t>(08) 38238888</t>
  </si>
  <si>
    <t>08) 38238454</t>
  </si>
  <si>
    <t>saigonclinic@colombiaasia.com</t>
  </si>
  <si>
    <t>http://www.colombiaasia.com/vietnam</t>
  </si>
  <si>
    <t>Bệnh thường gặp, Gây mê, Răng - Hàm - Mặt, Tai - Mũi - Họng, Cấp cứu, Sản khoa - Phụ khoa, Dược, Nha khoa, Vật lý trị liệu, Tiết niệu, Mắt</t>
  </si>
  <si>
    <t>Khám bệnh dịch vụ, Kiểm tra tình hình sức khỏe định kỳ, Cấp cứu khẩn cấp, Chăm sóc y tế tại gia, Chăm sóc thay thế cho thân nhân, Tiếp nhận bệnh nhân mới, Xe đưa đón tận nhà, Tư vấn chế độ ăn uống, TV riêng, Tủ lạnh riêng, Điều hòa, Phòng vệ sinh riêng</t>
  </si>
  <si>
    <t>Bãi giữ xe máy, Bãi giữ xe ô tô, Đường đi riêng cho người khuyết tật, Khu vực cây xanh, Kết nối không dây</t>
  </si>
  <si>
    <t>healthcare, dịch vụ tốt, 24/7, chăm sóc người thân, chăm sóc tại gia, phục hồi sức khỏ, bác sỹ kinh nghiệm, chuyên môn, hiện đại, kỹ thuật cao, hài lòng, tin tưởng, nhiệt huyết, tận tâm</t>
  </si>
  <si>
    <t>Bệnh viện quốc tế Columbia Asia Gia Định</t>
  </si>
  <si>
    <t>1</t>
  </si>
  <si>
    <t>Nơ Trang Long</t>
  </si>
  <si>
    <t>(08) 38030677</t>
  </si>
  <si>
    <t>(08) 38030678</t>
  </si>
  <si>
    <t>giadinhhospital@colombiaasia.com</t>
  </si>
  <si>
    <t>Phòng khám đa khoa quốc tế CMI</t>
  </si>
  <si>
    <t>08:00 - 16:30</t>
  </si>
  <si>
    <t>Hàn Thuyên</t>
  </si>
  <si>
    <t>(08) 38272366</t>
  </si>
  <si>
    <t>(08) 38272367</t>
  </si>
  <si>
    <t>info@cmi-vietnam.com</t>
  </si>
  <si>
    <t>httt://www.cmi-vietnam.com</t>
  </si>
  <si>
    <t>Bệnh thường gặp, Bệnh truyền nhiễm, Tim mạch, Sản khoa - Phụ khoa, Mắt, Y học cổ truyền, Chấn thương chỉnh hình, Nhi khoa, Tư vấn tâm lý - Tâm thần</t>
  </si>
  <si>
    <t>Khám bệnh dịch vụ, Xe đưa đón tận nhà, Chăm sóc cho người già, Chăm sóc nhà cửa và các dịch vụ liên quan, Chăm sóc y tế tại gia, Dễ tiếp cận các phương tiện công cộng, Truyền thông đa phương tiện, Tiếp nhận bệnh nhân mới, Tư vấn chế độ ăn uống, Cấp cứu khẩn cấp, Nút bấm gọi khẩn cấp, TV riêng, Phòng vệ sinh riêng, Kết nối Internet, Điều hòa</t>
  </si>
  <si>
    <t>Bãi giữ xe máy, Bãi giữ xe ô tô, Chỗ đậu xe cho người khuyết tật, Kết nối không dây, Khu vui chơi thiếu nhi, Khu vực cây xanh, Thông báo tái khám qua tin nhắn, Nhà vệ sinh cho người khuyết tật</t>
  </si>
  <si>
    <t>tư vấn tâm lý, điều trị tâm lý, liệu pháp tâm lý, phục hồi tâm lý, tâm lý lứa tuổi, home healthcare, chăm sóc tại gia, chăm sóc người già, 24/7, bác sỹ nước ngoài, chuyên môn, tay nghề cao</t>
  </si>
  <si>
    <t>8:00 - 17:00</t>
  </si>
  <si>
    <t>9:00 - 16:00</t>
  </si>
  <si>
    <t>79</t>
  </si>
  <si>
    <t>Điện Biên Phủ</t>
  </si>
  <si>
    <t>(08) 39104545</t>
  </si>
  <si>
    <t>(08) 39103334</t>
  </si>
  <si>
    <t>http://www.victoriavn.com</t>
  </si>
  <si>
    <t>Bệnh thường gặp, Nhi khoa, Tiêu hóa - Gan - Mật, Nhi khoa, Tim mạch, Sản khoa - Phụ khoa, Tiết niệu, Nam khoa, Tai - Mũi - Họng, Thần kinh, Nội tổng quát</t>
  </si>
  <si>
    <t>Cấp cứu khẩn cấp, Khám bệnh dịch vụ, Tiếp nhận bệnh nhân mới, Đặt lịch khám qua mạng, Chăm sóc thay thế cho thân nhân, Phòng vệ sinh riêng, Điều hòa, Liên lạc trực tiếp với nhân viên trực, Dễ tiếp cận các phương tiện công cộng</t>
  </si>
  <si>
    <t>Bãi giữ xe máy, Bãi giữ xe ô tô, Đặt lịch khám Onine, Khu ăn uống, Khu dành riêng cho người hút thuốc, Tạp hóa</t>
  </si>
  <si>
    <t>thiết bị hiện đại, nha khoa, trẻ em, thiếu nhi, tư vấn tâm lý, tư vấn tâm sinh lý, tim khỏe, chế độ ăn dinh dưỡng, điều trị sâu rộng, dịch vụ chăm sóc, thiết bị tiên tiến, dịch vụ chuyên nghiệp, tận tâm</t>
  </si>
  <si>
    <t>135A</t>
  </si>
  <si>
    <t>Nguyễn Văn Trỗi</t>
  </si>
  <si>
    <t>HCM Family Medical Practice - First Center</t>
  </si>
  <si>
    <t>HCM Family Medical Practice - Second Center</t>
  </si>
  <si>
    <t>Bệnh viện quốc tế Victoria Healthcare - Cơ sở 1</t>
  </si>
  <si>
    <t>Bệnh viện quốc tế Victoria Healthcare - Cơ sở 2</t>
  </si>
  <si>
    <t>Bệnh viện của tổ chức di trú quốc tế</t>
  </si>
  <si>
    <t>07:45 - 18:30</t>
  </si>
  <si>
    <t>08:30 - 15:30</t>
  </si>
  <si>
    <t>1B</t>
  </si>
  <si>
    <t>Phạm Ngọc Thạch</t>
  </si>
  <si>
    <t>(08) 38222057</t>
  </si>
  <si>
    <t>(08) 38221780</t>
  </si>
  <si>
    <t>1hcm.ops@internationalsos.com</t>
  </si>
  <si>
    <t>Bệnh thường gặp, Cấp cứu</t>
  </si>
  <si>
    <t>Phòng khám đa khoa SAIGON - ITO</t>
  </si>
  <si>
    <t>08:00 - 16:45</t>
  </si>
  <si>
    <t>800</t>
  </si>
  <si>
    <t>Trần Hưng Đạo</t>
  </si>
  <si>
    <t>(08) 39225995</t>
  </si>
  <si>
    <t>(08) 39225979</t>
  </si>
  <si>
    <t>saigonito123@gmail.com</t>
  </si>
  <si>
    <t>http://www.saigonitohospital.com</t>
  </si>
  <si>
    <t>Cấp cứu, Ngoại tổng quát, Nội tổng quát, Chuẩn đoán hình ảnh, Răng - Hàm - Mặt, Tai - Mũi - Họng, Phẫu thuật thẩm mỹ, Chấn thương chỉnh hình, Vật lý trị liệu, Gây mê, Hồi sức</t>
  </si>
  <si>
    <t>Cấp cứu khẩn cấp, Điều hòa, Phòng vệ sinh riêng, Bảo vệ an ninh, Kết nối Internet, Dễ tiếp cận các phương tiện công cộng</t>
  </si>
  <si>
    <t>Bãi giữ xe máy, Bãi giữ xe ô tô, Đặt lịch khám Onine, Thông báo tái khám qua tin nhắn</t>
  </si>
  <si>
    <t>bác sỹ giàu kinh nghiệm, phuc vụ 24/7, thẩm mỹ, thủ tục nhanh gọn, giải pháp hiệu quả, trị liệu triệt để, khớp gối, khớp háng, cột sống, chỉnh hình, khớp nhân tạo</t>
  </si>
  <si>
    <t>Bệnh viện Chợ Rẫy</t>
  </si>
  <si>
    <t>07:00 - 17:00</t>
  </si>
  <si>
    <t>07:00 - 19:00</t>
  </si>
  <si>
    <t>205</t>
  </si>
  <si>
    <t>Nguyễn Chí Thanh</t>
  </si>
  <si>
    <t>(08) 38554137</t>
  </si>
  <si>
    <t>(08) 38557267</t>
  </si>
  <si>
    <t>bvchoray@hcm.vnn.vn</t>
  </si>
  <si>
    <t>http://www.choray.vn</t>
  </si>
  <si>
    <t>Bệnh thường gặp, Cấp cứu, Chấn thương chỉnh hình, Chuẩn đoán hình ảnh, Điều dưỡng, Dinh dưỡng, Gây mê, Hô hấp, Dược, Hóa sinh, Hồi sức, Huyết học, Mắt, Ngoại tổng hợp, Bệnh truyền nhiễm, Nội soi, Nội tiết, Nội tiết và đường máu, Nội tổng quát, Phẫu thuật, Phục hồi chức năng, Xương khớp, Xét nghiệm, Vi sinh, Vật lý trị liệu, Tai - Mũi - Họng, Thần kinh, Sinh hóa, Tiêu hóa - Gan - Mật, Thận nội tiết, Thận tiết niệu, Da liễu</t>
  </si>
  <si>
    <t>Bãi giữ xe máy, Bãi giữ xe ô tô, Điện thoại công cộng, Đường đi riêng cho người khuyết tật, Kết nối không dây, Khu ăn uống, Khu dành riêng cho người hút thuốc, Khu nghỉ ngơi cho người nuôi bệnh, Khu vực cây xanh, Khu vui chơi thiếu nhi, Quán café, Tạp hóa, Tra cứu thông tin trực tuyến</t>
  </si>
  <si>
    <t>24/7, đa khoa, bệnh viện lớn nhất, điều trị chuyên sâu, bác sỹ kinh nghiệm, tay nghề cao, cơ sở vật chất tốt, danh hiệu xuất sắc, chuyển bệnh nhân, tai nạn giao thông, chấn thương sọ não, liên tục, dịch vụ tốt, chuyên môn sâu, hạ tầng kỹ thuật đảm bảo, lưu trú cho người thân, thẻ ra vào, xe lăn, đa chuyên ngành, gần trung tâm, hạ tầng tốt, quá tải, thực tập, tiếp nhận tuyến dưới, đa chức năng, phục hồi chức năng, trị liệu chuyên khoa, hồi sức cấp cứu</t>
  </si>
  <si>
    <t>Bệnh viện đa khoa Sài Gòn</t>
  </si>
  <si>
    <t>07:30 - 18:00</t>
  </si>
  <si>
    <t>125</t>
  </si>
  <si>
    <t>Lê Lợi</t>
  </si>
  <si>
    <t>(08) 38291711</t>
  </si>
  <si>
    <t>(08) 38292071</t>
  </si>
  <si>
    <t>bv.saigon@tphcm.gov.vn</t>
  </si>
  <si>
    <t>Cấp cứu khẩn cấp, Đăng ký bảo hiểm y tế, Khám bệnh bảo hiểm y tế, Khám bệnh dịch vụ, Khám sức khỏe tổng quát, Kiểm tra tình hình sức khỏe định kỳ, Điều hòa, TV riêng, Tủ lạnh riêng, Tiếp nhận bệnh nhân mới, Phòng vệ sinh riêng, Chấp nhận bệnh nhân chuyển lên từ tuyến dưới, Tiếp nhận bệnh nhân mới</t>
  </si>
  <si>
    <t>Cấp cứu khẩn cấp, Đăng ký bảo hiểm y tế, Khám bệnh bảo hiểm y tế, Khám bệnh dịch vụ, Khám sức khỏe tổng quát, Kiểm tra tình hình sức khỏe định kỳ, Dễ tiếp cận các phương tiện công cộng, Kết nối Internet, Tiếp nhận bệnh nhân mới, Chấp nhận bệnh nhân chuyển lên từ tuyến dưới</t>
  </si>
  <si>
    <t>Bệnh viện An Bình</t>
  </si>
  <si>
    <t>146</t>
  </si>
  <si>
    <t>An Bình</t>
  </si>
  <si>
    <t>(08) 39234260</t>
  </si>
  <si>
    <t>Bệnh thường gặp, Nội tổng hợp, Dinh dưỡng, Cấp cứu, Chuẩn đoán hình ảnh, Da liễu, Phẫu thuật, Vật lý trị liệu, Thần kinh, Xét nghiệm, Mắt, Nội tim mạch, Nội tổng quát, Hô hấp, Dược, Gây mê, Hồi sức, Tiêu hóa - Gan - Mật, Tai - Mũi - Họng</t>
  </si>
  <si>
    <t>Bệnh thường gặp, Cấp cứu, Chấn thương chỉnh hình, Nhi khoa, Vật lý trị liệu, Tai - Mũi - Họng, Tiêu hóa - Gan - Mật, Tim mạch, Thần kinh, Gây mê, Hồi sức, Mắt, Nội soi, Ngoại tổng quát, Phẫu thuật, Nội tiết, Chuẩn đoán hình ảnh</t>
  </si>
  <si>
    <t>Cấp cứu khẩn cấp, Đăng ký bảo hiểm y tế, Khám bệnh bảo hiểm y tế, Khám bệnh dịch vụ, Khám sức khỏe tổng quát, Kiểm tra tình hình sức khỏe định kỳ, Tiếp nhận bệnh nhân mới, Chấp nhận bệnh nhân chuyển lên từ tuyến dưới</t>
  </si>
  <si>
    <t>Bãi giữ xe máy, Khu ăn uống, Điện thoại công cộng, Khu vực cây xanh</t>
  </si>
  <si>
    <t>Bãi giữ xe máy, Khu nghỉ ngơi cho người nuôi bệnh, Khu vực cây xanh, Khu ăn uống, Khu vui chơi thiếu nhi</t>
  </si>
  <si>
    <t>Bệnh viện Thống Nhất</t>
  </si>
  <si>
    <t>Lý Thường Kiệt</t>
  </si>
  <si>
    <t>(08) 3862141</t>
  </si>
  <si>
    <t>http://www.thongnhathospital.org.vn</t>
  </si>
  <si>
    <t>Cấp cứu khẩn cấp, Đăng ký bảo hiểm y tế, Khám bệnh bảo hiểm y tế, Khám bệnh dịch vụ, Khám sức khỏe tổng quát, Kiểm tra tình hình sức khỏe định kỳ, Tiếp nhận bệnh nhân mới, Chấp nhận bệnh nhân chuyển lên từ tuyến dưới, Điều hòa, Nút bấm gọi khẩn cấp, Bình dưỡng khí</t>
  </si>
  <si>
    <t>Bãi giữ xe máy, Bãi giữ xe ô tô, Khu nghỉ ngơi cho người nuôi bệnh, Khu vực cây xanh, Khu vui chơi thiếu nhi, Tạp hóa, Nhà vệ sinh cho người khuyết tật, Khu ăn uống, Kết nối không dây</t>
  </si>
  <si>
    <t>đa khoa, chợ Bến Thành, trung tâm thành phố, di chuyển thuận tiện, giá cả phù hợp, bác sỹ lành nghề, kỹ thuật cao, thiết bị hiện đại, lòng tin tuyệt đối, kỹ năng chuyên môn cao, lâu năm, tai nạn giao thông, chấp nhận tuyến dưới, 24/7</t>
  </si>
  <si>
    <t>24/7, đa khoa, dịch vụ tốt, khuôn viên rộng, thoáng đãng, yên tĩnh, đội ngũ bác sỹ tay nghề, kỹ thuật cao, đam mê, tận tâm, bệnh nhân là trên hết, lương y như từ mẫu, khám chữa bệnh, nhiệt tình, vệ sinh, chu đáo</t>
  </si>
  <si>
    <t>Bệnh thường gặp, Cấp cứu, Chấn thương chỉnh hình, Hồi sức, Xương khớp, Tai - Mũi - Họng, Mắt, Phẫu thuật, Gây mê, Tiêu hóa - Gan - Mật, Bệnh truyền nhiễm, Tim mạch, Tiết niệu, Xét nghiệm, Vật lý trị liệu, Hô hấp, Y học cổ truyền, Nội tim mạch, Nội soi, Huyết học, Dược, Hóa sinh, Vi sinh</t>
  </si>
  <si>
    <t>Bệnh viện Nguyễn Trãi</t>
  </si>
  <si>
    <t>07:00 - 17:30</t>
  </si>
  <si>
    <t>314</t>
  </si>
  <si>
    <t>(08) 3923592</t>
  </si>
  <si>
    <t>(08) 38382182</t>
  </si>
  <si>
    <t>Bệnh thường gặp, Cấp cứu, Chấn thương chỉnh hình, Chuẩn đoán hình ảnh, Hồi sức, Gây mê, Hô hấp, Dinh dưỡng, Vật lý trị liệu, Xét nghiệm, Nội tiết, Mắt</t>
  </si>
  <si>
    <t>Cấp cứu khẩn cấp, Đăng ký bảo hiểm y tế, Khám bệnh bảo hiểm y tế, Khám bệnh dịch vụ, Kiểm tra tình hình sức khỏe định kỳ, Tiếp nhận bệnh nhân mới, Chấp nhận bệnh nhân chuyển lên từ tuyến dưới</t>
  </si>
  <si>
    <t>đa khoa, niềm tin, bác sỹ giỏi, đào tạo chuyên sâu, thủ tục nhanh gọn, cấp cứu tai nạn, sức khỏe nhân dân, cơ sở vật chất tốt, trang thiết bị hiện đại, cấp cứu 24/7</t>
  </si>
  <si>
    <t>bệnh viện công, đảm bảo chất lượng, uy tín, tin cậy, bệnh nhân hài lòng, gần trung tâm, an ninh đảm bảo, không gian thoáng đãng, không ghép giường</t>
  </si>
  <si>
    <t>Bệnh viện Nguyễn Tri Phương</t>
  </si>
  <si>
    <t>07:00 - 18:00</t>
  </si>
  <si>
    <t>468</t>
  </si>
  <si>
    <t>Nguyễn Trãi</t>
  </si>
  <si>
    <t>(08) 39234332</t>
  </si>
  <si>
    <t>(08) 39236858</t>
  </si>
  <si>
    <t>http://www.bvnguyentriphuong.org</t>
  </si>
  <si>
    <t>Cấp cứu khẩn cấp, Chấp nhận bệnh nhân chuyển lên từ tuyến dưới, Tiếp nhận bệnh nhân mới, Đăng ký bảo hiểm y tế, Khám bệnh bảo hiểm y tế, Khám bệnh dịch vụ, Khám sức khỏe tổng quát</t>
  </si>
  <si>
    <t>Bãi giữ xe máy, Tạp hóa, Khu ăn uống, Khu vui chơi thiếu nhi, Khu vực rèn luyện sức khỏe, Quán café</t>
  </si>
  <si>
    <t>Bãi giữ xe máy, Bãi giữ xe ô tô, Đường đi riêng cho người khuyết tật, Điện thoại công cộng, Tạp hóa, Khu vực cây xanh, Khu vui chơi thiếu nhi, Khu ăn uống, Tra cứu thông tin trực tuyến</t>
  </si>
  <si>
    <t>đa khoa, bệnh viện công, gần đại học y dược, gần bệnh viện Chợ Rẫy, gần bệnh viện Nguyễn Trãi, dịch vụ tốt, giá phải chăng, hỗ trợ bảo hiểm y tế, bảo hiểm y tế tự nguyện, khám bảo hiểm y tế, đội ngũ giàu kinh nghiệm, tận tâm, nhiệt tình, chu đáo, hết lòng với bệnh nhân</t>
  </si>
  <si>
    <t>Bệnh viện Nhân Dân Gia Định</t>
  </si>
  <si>
    <t>Bệnh viện Bình Dân</t>
  </si>
  <si>
    <t>371</t>
  </si>
  <si>
    <t>Bệnh viện Nhân Dân 115</t>
  </si>
  <si>
    <t>527</t>
  </si>
  <si>
    <t>Sư Vạn Hạnh</t>
  </si>
  <si>
    <t>Bệnh viện 30/4</t>
  </si>
  <si>
    <t>9</t>
  </si>
  <si>
    <t>Bệnh viện Triều An</t>
  </si>
  <si>
    <t>425</t>
  </si>
  <si>
    <t>Kinh Dương Vương</t>
  </si>
  <si>
    <t>Bệnh viện Hoàn Mỹ</t>
  </si>
  <si>
    <t>60-60A</t>
  </si>
  <si>
    <t>Phan Xích Long</t>
  </si>
  <si>
    <t>Bệnh viện An Sinh</t>
  </si>
  <si>
    <t>Trần Huy Liệu</t>
  </si>
  <si>
    <t>Bệnh viện Đại học Y Dược</t>
  </si>
  <si>
    <t>215</t>
  </si>
  <si>
    <t>Hồng Bàng</t>
  </si>
  <si>
    <t>(08) 38412697</t>
  </si>
  <si>
    <t>(08) 48412700</t>
  </si>
  <si>
    <t>(08) 38394747</t>
  </si>
  <si>
    <t>(08) 38391315</t>
  </si>
  <si>
    <t>(08) 38683496</t>
  </si>
  <si>
    <t>(08) 38655193</t>
  </si>
  <si>
    <t>(08) 38354986</t>
  </si>
  <si>
    <t>(08) 38399170</t>
  </si>
  <si>
    <t>(08) 37508888</t>
  </si>
  <si>
    <t>(08) 37509999</t>
  </si>
  <si>
    <t>(08) 39902468</t>
  </si>
  <si>
    <t>(08) 39311940</t>
  </si>
  <si>
    <t>(08) 38457777</t>
  </si>
  <si>
    <t>(08) 38476734</t>
  </si>
  <si>
    <t>(08) 3854269</t>
  </si>
  <si>
    <t>(08) 39506126</t>
  </si>
  <si>
    <t>Bệnh viện đa khoa Hồng Đức 1</t>
  </si>
  <si>
    <t>234</t>
  </si>
  <si>
    <t>Pasteur</t>
  </si>
  <si>
    <t>(08) 38250693</t>
  </si>
  <si>
    <t>info@hongduchspital.vn</t>
  </si>
  <si>
    <t>http://www.hongduchospital.vn/</t>
  </si>
  <si>
    <t>Bệnh viện đa khoa Hồng Đức 2</t>
  </si>
  <si>
    <t>32/2</t>
  </si>
  <si>
    <t>Thống Nhất</t>
  </si>
  <si>
    <t>(08) 39893594</t>
  </si>
  <si>
    <t>(08) 38959612</t>
  </si>
  <si>
    <t>Bệnh viện Nhiệt Đới</t>
  </si>
  <si>
    <t>764</t>
  </si>
  <si>
    <t>Võ Văn Kiệt</t>
  </si>
  <si>
    <t>(08) 39235804</t>
  </si>
  <si>
    <t>(08) 39236943</t>
  </si>
  <si>
    <t>ttbnd@hcm.vnn.vn</t>
  </si>
  <si>
    <t>http://www.bvdnd.vn</t>
  </si>
  <si>
    <t>Bệnh viện Nhi Đồng 1</t>
  </si>
  <si>
    <t>Bệnh viện Nhi Đồng 2</t>
  </si>
  <si>
    <t>(08) 39271119</t>
  </si>
  <si>
    <t>374</t>
  </si>
  <si>
    <t>14</t>
  </si>
  <si>
    <t>Lý Tự Trọng</t>
  </si>
  <si>
    <t>(08) 38298385</t>
  </si>
  <si>
    <t>Viện Pasteur</t>
  </si>
  <si>
    <t>167</t>
  </si>
  <si>
    <t>(08) 38202835</t>
  </si>
  <si>
    <t>(08) 38231419</t>
  </si>
  <si>
    <t>Bệnh viện Truyền Máu Huyết Học</t>
  </si>
  <si>
    <t>152</t>
  </si>
  <si>
    <t>(08) 39557858</t>
  </si>
  <si>
    <t>(08) 38552978</t>
  </si>
  <si>
    <t>hemato@vnn.vn</t>
  </si>
  <si>
    <t>Trung tâm chẩn đoán Y khoa Medic</t>
  </si>
  <si>
    <t>254</t>
  </si>
  <si>
    <t>Hòa Hảo</t>
  </si>
  <si>
    <t>Viện tim thành phố Hồ Chí Minh</t>
  </si>
  <si>
    <t>88</t>
  </si>
  <si>
    <t>Thành Thái</t>
  </si>
  <si>
    <t>(08) 38651586</t>
  </si>
  <si>
    <t>(08) 38654026</t>
  </si>
  <si>
    <t>Viện tim Tâm Đức</t>
  </si>
  <si>
    <t>4</t>
  </si>
  <si>
    <t>(08) 54110036</t>
  </si>
  <si>
    <t>(08) 54110025</t>
  </si>
  <si>
    <t>Bệnh viện Chấn Thương Chỉnh Hình</t>
  </si>
  <si>
    <t>929</t>
  </si>
  <si>
    <t>(08) 39237007</t>
  </si>
  <si>
    <t>(08) 39236554</t>
  </si>
  <si>
    <t>http://www.tamduchearthospital.com</t>
  </si>
  <si>
    <t>Bệnh viện Ngoại Thần Kinh Quốc Tế</t>
  </si>
  <si>
    <t>Lũy Bán Bích</t>
  </si>
  <si>
    <t>(08) 39616996</t>
  </si>
  <si>
    <t>(08) 384441399</t>
  </si>
  <si>
    <t>Bệnh viện tâm thần thành phố Hồ Chí Minh</t>
  </si>
  <si>
    <t>179 </t>
  </si>
  <si>
    <t>(08) 39234675</t>
  </si>
  <si>
    <t>(08) 39234880</t>
  </si>
  <si>
    <t>http://www.bvtt-tphcm.org.vn</t>
  </si>
  <si>
    <t>Bệnh viện Phạm Ngọc Thạch</t>
  </si>
  <si>
    <t>120</t>
  </si>
  <si>
    <t>Hùng Vương</t>
  </si>
  <si>
    <t>(08) 38550207</t>
  </si>
  <si>
    <t>(08) 38574264</t>
  </si>
  <si>
    <t>Bệnh viện Phụ Sản Quốc Tế Sài Gòn</t>
  </si>
  <si>
    <t>63</t>
  </si>
  <si>
    <t>Bùi Thị Xuân</t>
  </si>
  <si>
    <t>(08) 39253623</t>
  </si>
  <si>
    <t>sihospital@hcm.vnn.vn</t>
  </si>
  <si>
    <t>http://www.sihospital.com.vn</t>
  </si>
  <si>
    <t>Bệnh viện Từ Dũ</t>
  </si>
  <si>
    <t>284</t>
  </si>
  <si>
    <t>Cống Quỳnh</t>
  </si>
  <si>
    <t>(08) 38392722</t>
  </si>
  <si>
    <t>(08) 38396832</t>
  </si>
  <si>
    <t>Bệnh viện Hùng Vương</t>
  </si>
  <si>
    <t>128</t>
  </si>
  <si>
    <t>(08) 38551835</t>
  </si>
  <si>
    <t>(08) 38574365</t>
  </si>
  <si>
    <t>97</t>
  </si>
  <si>
    <t>Nguyễn Thị Minh Khai</t>
  </si>
  <si>
    <t>(08) 39259797</t>
  </si>
  <si>
    <t>(08) 39259949</t>
  </si>
  <si>
    <t>http://www.hanhphuchospital.com</t>
  </si>
  <si>
    <t>info@hanhphuchospital.com</t>
  </si>
  <si>
    <t>Trung tâm Chăm sóc Sức khỏe Quốc tế Hạnh Phúc</t>
  </si>
  <si>
    <t>Bệnh viện Ung Bướu</t>
  </si>
  <si>
    <t>(08) 38433021</t>
  </si>
  <si>
    <t>(08) 38412636</t>
  </si>
  <si>
    <t>bvubhcm@gmail.com</t>
  </si>
  <si>
    <t>Bệnh viện Y học cổ tryền</t>
  </si>
  <si>
    <t>179</t>
  </si>
  <si>
    <t>Nam Kỳ Khởi Nghĩa</t>
  </si>
  <si>
    <t>(08) 39326579</t>
  </si>
  <si>
    <t>Bệnh viện da liễu</t>
  </si>
  <si>
    <t>Nguyễn Thông</t>
  </si>
  <si>
    <t>(08) 39305233</t>
  </si>
  <si>
    <t>(08) 39304810</t>
  </si>
  <si>
    <t>Stamford Skin Clinic</t>
  </si>
  <si>
    <t>99</t>
  </si>
  <si>
    <t>Sương Nguyệt Ánh</t>
  </si>
  <si>
    <t>(08) 39251990</t>
  </si>
  <si>
    <t>http://stamfordskin.com</t>
  </si>
  <si>
    <t>Bệnh viện Răng Hàm Mặt</t>
  </si>
  <si>
    <t>263-264</t>
  </si>
  <si>
    <t>(08) 38360191</t>
  </si>
  <si>
    <t>(08) 38367319</t>
  </si>
  <si>
    <t>bvranghammat@vnn.vn</t>
  </si>
  <si>
    <t>http://www.bvranghammat.com</t>
  </si>
  <si>
    <t>Khoa Răng Hàm Mặt - Đại Học Y Dược TP.HCM</t>
  </si>
  <si>
    <t>652</t>
  </si>
  <si>
    <t>(08) 38558735</t>
  </si>
  <si>
    <t>(08) 38552641</t>
  </si>
  <si>
    <t>http://www.bvdaihoc.com.vn</t>
  </si>
  <si>
    <t>Nha Khoa Koseikai</t>
  </si>
  <si>
    <t>21</t>
  </si>
  <si>
    <t>Nguyễn Trung Ngạn</t>
  </si>
  <si>
    <t>(08) 39106255</t>
  </si>
  <si>
    <t>(08) 39106256</t>
  </si>
  <si>
    <t>koseikaivietnam@hcm.vnn.vn</t>
  </si>
  <si>
    <t>http://www.hcpg.jp</t>
  </si>
  <si>
    <t>Grand Dentistry</t>
  </si>
  <si>
    <t>32-34</t>
  </si>
  <si>
    <t>Ngô Đức Kế</t>
  </si>
  <si>
    <t>(08) 38219446</t>
  </si>
  <si>
    <t>(08) 39104018</t>
  </si>
  <si>
    <t>Maple Health Care</t>
  </si>
  <si>
    <t>72</t>
  </si>
  <si>
    <t>Võ Thị Sáu</t>
  </si>
  <si>
    <t>(08) 38201999</t>
  </si>
  <si>
    <t>(08) 38204619</t>
  </si>
  <si>
    <t>granddentist@yahoo.com</t>
  </si>
  <si>
    <t>http://www.maplehealthcare.net</t>
  </si>
  <si>
    <t>Nha khoa Starlight</t>
  </si>
  <si>
    <t>2 Bis</t>
  </si>
  <si>
    <t>Công Trường Quốc Tế</t>
  </si>
  <si>
    <t>(08) 38226222</t>
  </si>
  <si>
    <t>starlightdental@gmail.com</t>
  </si>
  <si>
    <t>http://www.starlightdental.net</t>
  </si>
  <si>
    <t>Nha khoa Viễn Đông</t>
  </si>
  <si>
    <t>249</t>
  </si>
  <si>
    <t>Lê Thánh Tôn</t>
  </si>
  <si>
    <t>(08) 822448888</t>
  </si>
  <si>
    <t>Nha khoa Quốc tế Westcoast Bến Thành</t>
  </si>
  <si>
    <t>27</t>
  </si>
  <si>
    <t>Nguyễn Trung Trực</t>
  </si>
  <si>
    <t>(08) 38256999</t>
  </si>
  <si>
    <t>(08) 38257485</t>
  </si>
  <si>
    <t>benthanh@westcoastinternational.com</t>
  </si>
  <si>
    <t>http://www.westcoastinternational.com</t>
  </si>
  <si>
    <t>Nha khoa Quốc tế Westcoast Đồng Khởi</t>
  </si>
  <si>
    <t>71-79</t>
  </si>
  <si>
    <t>Đồng Khởi</t>
  </si>
  <si>
    <t>(08) 38256777</t>
  </si>
  <si>
    <t>(08) 38257838</t>
  </si>
  <si>
    <t>dongkhoi@westcoastinternational.com</t>
  </si>
  <si>
    <t>Bệnh viện Mắt</t>
  </si>
  <si>
    <t>280</t>
  </si>
  <si>
    <t>(08) 39326732</t>
  </si>
  <si>
    <t>(08) 39325713</t>
  </si>
  <si>
    <t>hochiminhcityeyehospital@yahoo.com</t>
  </si>
  <si>
    <t>Bệnh viện Mắt Sài Gòn</t>
  </si>
  <si>
    <t>100</t>
  </si>
  <si>
    <t>Lê Thị Riêng</t>
  </si>
  <si>
    <t>(08) 39256155</t>
  </si>
  <si>
    <t>(08) 39256158</t>
  </si>
  <si>
    <t>http://www.matsaigon.com</t>
  </si>
  <si>
    <t>Phòng khám mắt Cao Thắng</t>
  </si>
  <si>
    <t>135</t>
  </si>
  <si>
    <t>Trần Bình Trọng</t>
  </si>
  <si>
    <t>(08) 39238435</t>
  </si>
  <si>
    <t>(08) 38384464</t>
  </si>
  <si>
    <t>info@cthospital.vn</t>
  </si>
  <si>
    <t>http://www.cthospital.vn</t>
  </si>
  <si>
    <t>Phòng khám chuyên khoa mắt - American Eye Center</t>
  </si>
  <si>
    <t>Lầu 5 Crescent Plaza, 105</t>
  </si>
  <si>
    <t>Tôn Dật Tiên</t>
  </si>
  <si>
    <t>(08) 54136758</t>
  </si>
  <si>
    <t>(08) 54136759</t>
  </si>
  <si>
    <t>info@americaneyecentervn.com</t>
  </si>
  <si>
    <t>http://www.americaneyecentervn.com</t>
  </si>
  <si>
    <t>Bệnh viện mắt Việt Hàn</t>
  </si>
  <si>
    <t>355</t>
  </si>
  <si>
    <t>Ngô Gia Tự</t>
  </si>
  <si>
    <t>(08) 38300999</t>
  </si>
  <si>
    <t>Bệnh viện Tai Mũi Họng</t>
  </si>
  <si>
    <t>155B</t>
  </si>
  <si>
    <t>Trần Quốc Thảo</t>
  </si>
  <si>
    <t>(08) 39317381</t>
  </si>
  <si>
    <t>(08) 39312712</t>
  </si>
  <si>
    <t>entcenter@hcm.fpt.vn</t>
  </si>
  <si>
    <t>(08) 38238454</t>
  </si>
  <si>
    <t>(08)38272365</t>
  </si>
  <si>
    <t>(08) 37510915</t>
  </si>
  <si>
    <t>(08) 38239275</t>
  </si>
  <si>
    <t>(08) 38552300</t>
  </si>
  <si>
    <t>(08) 54136760</t>
  </si>
  <si>
    <t>http://www.bvndgiadinh.org.vn/</t>
  </si>
  <si>
    <t>Bệnh thường gặp, Cấp cứu, Chấn thương chỉnh hình, Điều dưỡng, Gây mê, Hồi sức, Hô hấp, Nam khoa, Ngoại hô hấp, Ngoại tổng hợp, Nội tiết, Nội tim mạch, Nội tim mạch, Nội tiết và đường máu, Phẫu thuật, Sản khoa - Phụ khoa, Thần kinh, Thận nội tiết, Thận tiết niệu, Tiêu hóa - Gan - Mật, Tiết niệu, Tim mạch, Vật lý trị liệu, Tim mạch, Xương khớp, Y học cổ truyền, Xét nghiệm, Nhi khoa, Tai - Mũi - Họng, Răng - Hàm - Mặt</t>
  </si>
  <si>
    <t>07:00 - 16:00</t>
  </si>
  <si>
    <t>http://www.bvbinhdan.com.vn</t>
  </si>
  <si>
    <t>http://www.benhvien115.com.vn</t>
  </si>
  <si>
    <t>07:00 - 16:30</t>
  </si>
  <si>
    <t>07:00 - 12:00</t>
  </si>
  <si>
    <t>Bệnh thường gặp, Xét nghiệm, Chuẩn đoán hình ảnh, Ung bướu, Cấp cứu, Thần kinh, Tim mạch, Gây mê, Hồi sức, Hô hấp, Phục hồi chức năng, Chấn thương chỉnh hình, Bệnh truyền nhiễm, Dược, Dinh dưỡng, Mắt, Nội tiết, Nội tim mạch, Xương khớp, Răng - Hàm - Mặt, Ngoại tổng quát, Nội tổng hợp, Tai - Mũi - Họng, Y học thể thao, Y học cổ truyền</t>
  </si>
  <si>
    <t>http://www.benhvien304.vn</t>
  </si>
  <si>
    <t>info@trieuan.vn</t>
  </si>
  <si>
    <t>http://www.trieuan.vn</t>
  </si>
  <si>
    <t>Bệnh thường gặp, Nhi khoa, Xét nghiệm</t>
  </si>
  <si>
    <t>05:00 - 19:00</t>
  </si>
  <si>
    <t>06:30 - 11:30</t>
  </si>
  <si>
    <t>Bệnh thường gặp, Tim mạch, Ngoại tổng quát, Nội tổng quát, Phẫu thuật, Thần kinh, Tiết niệu, Thận tiết niệu, Hồi sức, Cấp cứu, Tai - Mũi - Họng, Răng - Hàm - Mặt, Da liễu, Mắt, Gây mê, Xét nghiệm, Chuẩn đoán hình ảnh, Dược</t>
  </si>
  <si>
    <t>Cấp cứu khẩn cấp, Chăm sóc thay thế cho thân nhân, Chăm sóc y tế tại gia, Khám bệnh dịch vụ, Khám sức khỏe tổng quát, Kiểm tra tình hình sức khỏe định kỳ, Đặt lịch khám qua mạng, Truyền thông đa phương tiện</t>
  </si>
  <si>
    <t>http://www.hoanmy.com/saigon/</t>
  </si>
  <si>
    <t>http://www.ansinh.com.vn/</t>
  </si>
  <si>
    <t>Bệnh thường gặp, Cấp cứu, Hồi sức, Nội tổng hợp, Huyết học, Ngoại tổng hợp, Y học thể thao, Xương khớp, Vật lý trị liệu, Phẫu thuật thẩm mỹ, Nhi khoa, Sản khoa - Phụ khoa, Sinh lý sinh sản, Chuẩn đoán hình ảnh, Tai - Mũi - Họng, Xét nghiệm, Nội soi, Dược, Răng - Hàm - Mặt</t>
  </si>
  <si>
    <t>Khám bệnh dịch vụ, Phòng vệ sinh riêng, Cấp cứu khẩn cấp, Kết nối Internet, Nút bấm gọi khẩn cấp, Tư vấn chế độ ăn uống, TV riêng, Phục vụ đồ ăn sáng, trưa, tối, Liên lạc trực tiếp với nhân viên trực, Chăm sóc thay thế cho thân nhân, Bảo vệ an ninh, Đăng ký bảo hiểm y tế, Điều hòa, Dễ tiếp cận các phương tiện công cộng, Tiếp nhận bệnh nhân mới, Xe đưa đón tận nhà</t>
  </si>
  <si>
    <t>07:30 - 12:00</t>
  </si>
  <si>
    <t>07:30 - 19:00</t>
  </si>
  <si>
    <t>06:30 - 12:00</t>
  </si>
  <si>
    <t>bvdh@hcm.vnn.vn</t>
  </si>
  <si>
    <t>http://www.bvdaihoc.com.vn/</t>
  </si>
  <si>
    <t>Bệnh thường gặp, Cấp cứu, Mắt, Hồi sức, Tiêu hóa - Gan - Mật, Ngoại tổng hợp, Nội tim mạch, Nội tổng hợp, Phẫu thuật, Răng - Hàm - Mặt, Tim mạch, Phẫu thuật thẩm mỹ, Tai - Mũi - Họng, Sản khoa - Phụ khoa, Thận nội tiết, Thần kinh, Vật lý trị liệu, Y học hạt nhân, Y học cổ truyền, Vi sinh, Xét nghiệm, Nội soi, Nội tiết, Hô hấp, Xương khớp, Dược, Chuẩn đoán hình ảnh, Bệnh truyền nhiễm, Tư vấn tâm lý - Tâm thần</t>
  </si>
  <si>
    <t>Bảo vệ an ninh, Cấp cứu khẩn cấp, TV riêng, Tủ lạnh riêng, Điều hòa, Kết nối Internet, Liên lạc trực tiếp với nhân viên trực, Nút bấm gọi khẩn cấp, Phòng vệ sinh riêng, Bình dưỡng khí, Chăm sóc thay thế cho thân nhân, Chăm sóc cho người già, Xe đưa đón tận nhà, Tư vấn chế độ ăn uống, Phục vụ đồ ăn sáng, trưa, tối, Đăng ký bảo hiểm y tế, Khám bệnh bảo hiểm y tế, Khám bệnh dịch vụ</t>
  </si>
  <si>
    <t>Bệnh thường gặp, Hô hấp, Tiêu hóa - Gan - Mật, Tim mạch, Tiết niệu, Nội tiết, Xương khớp, Bệnh truyền nhiễm</t>
  </si>
  <si>
    <t>Đặt lịch khám qua mạng, Xe đưa đón tận nhà, Chăm sóc y tế tại gia, Đăng ký bảo hiểm y tế, Dễ tiếp cận các phương tiện công cộng, Điều hòa, Khám sức khỏe tổng quát, Khám bệnh dịch vụ, Kiểm tra tình hình sức khỏe định kỳ, Phòng vệ sinh riêng, Phục vụ đồ ăn sáng, trưa, tối, Tiếp nhận bệnh nhân mới, Tủ lạnh riêng, TV riêng, Tư vấn chế độ ăn uống</t>
  </si>
  <si>
    <t>Bãi giữ xe đạp, Bãi giữ xe máy, Bãi giữ xe ô tô, Chỗ đậu xe cho người khuyết tật, Điện thoại công cộng, Đường đi riêng cho người khuyết tật, Kết nối không dây, Khu ăn uống, Khu nghỉ ngơi cho người nuôi bệnh, Khu vực cây xanh, Tạp hóa, Truy cập máy vi tính, Bãi giữ xe đạp, Bãi giữ xe máy, Bãi giữ xe ô tô, Chỗ đậu xe cho người khuyết tật, Điện thoại công cộng, Đường đi riêng cho người khuyết tật, Kết nối không dây, Khu ăn uống, Khu nghỉ ngơi cho người nuôi bệnh, Khu vực cây xanh, Tạp hóa, Truy cập máy vi tính</t>
  </si>
  <si>
    <t>http://www.nhidong.org.vn</t>
  </si>
  <si>
    <t>07:30 - 20:00</t>
  </si>
  <si>
    <t>07:00 - 10:30</t>
  </si>
  <si>
    <t>http://www.pasteur-hcm.org.vn</t>
  </si>
  <si>
    <t>http://www.bthh.org.vn</t>
  </si>
  <si>
    <t>http://www.medic.com.vn/</t>
  </si>
  <si>
    <t>04:00 - 19:00</t>
  </si>
  <si>
    <t>04:00 - 12:00</t>
  </si>
  <si>
    <t>Kết nối không dây, Khu ăn uống, Bãi giữ xe đạp, Bãi giữ xe máy, Điện thoại công cộng, Đường đi riêng cho người khuyết tật, Tạp hóa, Tra cứu thông tin trực tuyến, Khu vực cây xanh, Khu dành riêng cho người hút thuốc, Quán café</t>
  </si>
  <si>
    <t>Cấp cứu khẩn cấp, Chấp nhận bệnh nhân chuyển lên từ tuyến dưới, Tiếp nhận bệnh nhân mới, Đăng ký bảo hiểm y tế, Khám bệnh bảo hiểm y tế, Khám bệnh dịch vụ, Khám sức khỏe tổng quát, Bình dưỡng khí, Chăm sóc cho người già, Chăm sóc thay thế cho thân nhân</t>
  </si>
  <si>
    <t>Cấp cứu khẩn cấp, Chấp nhận bệnh nhân chuyển lên từ tuyến dưới, Tiếp nhận bệnh nhân mới, Đăng ký bảo hiểm y tế, Khám bệnh bảo hiểm y tế, Khám bệnh dịch vụ, Khám sức khỏe tổng quát, Bình dưỡng khí, Chăm sóc cho người già, Chăm sóc thay thế cho thân nhân, Bảo vệ an ninh, Điều hòa, Phòng vệ sinh riêng, Nút bấm gọi khẩn cấp</t>
  </si>
  <si>
    <t>Kết nối không dây, Khu ăn uống, Bãi giữ xe đạp, Bãi giữ xe máy, Điện thoại công cộng, Đường đi riêng cho người khuyết tật, Tạp hóa, Tra cứu thông tin trực tuyến, Khu vực cây xanh, Khu dành riêng cho người hút thuốc, Quán café, Khu vực rèn luyện sức khỏe</t>
  </si>
  <si>
    <t>Cấp cứu khẩn cấp, Chấp nhận bệnh nhân chuyển lên từ tuyến dưới, Tiếp nhận bệnh nhân mới, Đăng ký bảo hiểm y tế, Khám bệnh bảo hiểm y tế, Khám bệnh dịch vụ, Khám sức khỏe tổng quát, Bình dưỡng khí, Chăm sóc cho người già, Chăm sóc thay thế cho thân nhân, Bảo vệ an ninh, Điều hòa, Phòng vệ sinh riêng, Nút bấm gọi khẩn cấp, Chăm sóc y tế tại gia</t>
  </si>
  <si>
    <t>đa khoa, 24/7, bác sỹ giỏi, trang thiết bị hiện đại, bãi giữ xe rộng, không gian thoáng đãng, thủ tục nhanh gọn, gần những trung tâm tiện ích, không nằm ghép, tỷ lệ biến chứng thấp, hồi phục nhanh, phòng dịch vụ, cấp cứu tai nạn, tiêu chuẩn chất lượng</t>
  </si>
  <si>
    <t>Giá cả phải chăng, nội soi, tiêu hóa, gan, mật, tụy, gần trung tâm thành phố, đèn tín hiệu qua đường, nhân viên có kinh nghiệm, bác sỹ giỏi, yên tâm</t>
  </si>
  <si>
    <t>y học cổ truyền, xương khớp, ít biến chứng, 115, cấp cứu khẩn cấp, yên tâm tuyệt đối, không gian thoáng đãng, lịch sự, sạch sẽ, không nằm ghép, bác sỹ tận tâm, lương y như từ mẫu</t>
  </si>
  <si>
    <t>quân đội, cảnh sát, cán bộ nhà nước, cán bộ về hưu, người có công với cách mạng, mẹ Việt Nam anh hùng, dịch vụ tốt, giá cả phải chăng, phòng dịch vụ đơn, phòng dịch vụ đôi</t>
  </si>
  <si>
    <t>Cấp cứu, Gây mê, Hồi sức, Nội tổng quát, Y học cổ truyền, Vật lý trị liệu, Phẫu thuật, Tiết niệu, Thần kinh, Nhi khoa, Nội tiết, Sản khoa - Phụ khoa, Phẫu thuật thẩm mỹ, Dược, Xét nghiệm, Dinh dưỡng, Bệnh thường gặp</t>
  </si>
  <si>
    <t>Ngoại tổng quát, Tiêu hóa - Gan - Mật, Nội tiết và đường máu, Hô hấp, Gây mê, Hồi sức, Huyết học, Nam khoa, Ngoại hô hấp, Phẫu thuật thẩm mỹ, Nội soi, Thận tiết niệu, Bệnh thường gặp</t>
  </si>
  <si>
    <t>Ngoại tổng hợp, Chấn thương chỉnh hình, Phục hồi chức năng, Sản khoa - Phụ khoa, Dược, Gây mê, Hồi sức, Phẫu thuật, Cấp cứu, Bệnh thường gặp, Nội tim mạch, Sinh lý sinh sản, Vật lý trị liệu, Thần kinh, Tư vấn tâm lý - Tâm thần, Tiêu hóa - Gan - Mật, Bệnh truyền nhiễm, Da liễu, Hô hấp, Thận nội tiết, Xương khớp, Huyết học, Chuẩn đoán hình ảnh, Hóa sinh, Vi sinh, Dinh dưỡng, Bệnh thường gặp</t>
  </si>
  <si>
    <t>Cấp cứu khẩn cấp, đội ngũ bác sỹ uy tín, tay nghề cao, kỹ thuật cao, cơ sở vật chất tốt, bệnh nhân bảo hiểm y tế, bệnh nhân tuyến dưới, dịch vụ phòng, dịch vụ trông nom người thân tại gia</t>
  </si>
  <si>
    <t>Dịch vụ tốt, giá cả phù hợp, nhân viên tận tình, bác sỹ giỏi, cơ sở vật chất đảm bảo, điều kiện chăm sóc tốt, hồi phục nhanh, đảm bảo chất lượng, nhiều chi nhánh</t>
  </si>
  <si>
    <t>Yên tâm tuyệt đối, hỗ trợ chăm sóc người thân, phục vụ tốt, tận tình với bệnh nhân, hỗ trợ chuyển viện nhanh chóng, thủ tục gọc lẹ, xe chuyên dụng, không nằm ghép, khi nghỉ ngơi cho người thân, không quá tải</t>
  </si>
  <si>
    <t>đại học y dược, gần trung tâm, chấp nhận tuyến dưới, cấp cứu khẩn cấp, dịch vụ tốt, trình độ chuyên môn cao, đào tạo nhân lực giỏi, y bác sỹ tận tâm, lương y như từ mẫu, bãi giữ xe rộng, đường đi rộng, phòng thoáng mát</t>
  </si>
  <si>
    <t>xe đưa đón tận nhà, truyền thông đa phương tiện, kết nối không dây, niềm tin tuyệt đối, dịch vụ tốt, giá cả hợp lý, hỗ trợ bệnh nhân nghèo, hoạt động xã hội, bữa ăn từ thiện, tấm lòng nhân ái, trình độ chuyên môn cao, bác sỹ giỏi, lành nghề, du học nước ngoài</t>
  </si>
  <si>
    <t>Bệnh thường gặp, Cấp cứu, Tai - Mũi - Họng, Răng - Hàm - Mặt, Bệnh truyền nhiễm, Hô hấp, Xét nghiệm, Huyết học, Ngoại tổng quát, Thần kinh</t>
  </si>
  <si>
    <t>Bệnh truyền nhiễm, tiêm phòng quốc gia, cách ly tuyệt đối, nâng cấp cơ sở hạ tầng, kỹ thuật cao, tin cậy, giá cả hợp lý, không gian thoải mái, dịch bệnh, đại dịch, ngăn ngừa lây nhiễm, tiêm chủng người, động vật</t>
  </si>
  <si>
    <t>Bãi giữ xe đạp, Bãi giữ xe máy, Bãi giữ xe ô tô, Đặt lịch khám qua tổng đài 1080, Khu ăn uống, Khu vực cây xanh, Khu vui chơi thiếu nhi, Tạp hóa, Quán café</t>
  </si>
  <si>
    <t>thiếu nhi, trẻ nhỏ, sơ sinh, 16 tuổi, khó thở, dị tật bẩm sinh, theo dõi đặc biệt, phục hồi chức năng, phẫu thuật dính liền, an tâm, khu vui chơi thiếu nhi, hồn nhiên, màu sắc, bác sỹ tâm lý, chuyên môn cao</t>
  </si>
  <si>
    <t>Bệnh thường gặp, Vi sinh, Xét nghiệm, Hóa sinh, Dược, Di truyền, Dinh dưỡng</t>
  </si>
  <si>
    <t>Bãi giữ xe máy, Bãi giữ xe ô tô, Khu vực cây xanh, Thư viện tra cứu thông tin, Tra cứu thông tin trực tuyến, Khu ăn uống</t>
  </si>
  <si>
    <t>phòng bệnh, xét nghiệm, dinh dưỡng, phòng chống dịch bệnh, an toàn, chính xác, bí mật, tin tưởng, phát hiện sớm bệnh, tư vấn dinh dưỡng, điều tra pháp y, tiêm ngừa, tiêm chủng, người, động vật, cơ sở hiện đại, nhân viên tay nghề cao</t>
  </si>
  <si>
    <t>Đặt lịch khám qua tổng đài 1080, Cấp cứu khẩn cấp</t>
  </si>
  <si>
    <t>Bãi giữ xe ô tô, Bãi giữ xe máy, Khu ăn uống, Khu vui chơi thiếu nhi, Nhà vệ sinh cho người khuyết tật, Khu vực cây xanh</t>
  </si>
  <si>
    <t>Bệnh thường gặp, Huyết học, Phẫu thuật, Di truyền, Dược, Chuẩn đoán hình ảnh, Hồi sức, Cấp cứu, Điều dưỡng, Di truyền, Xét nghiệm, Hóa sinh</t>
  </si>
  <si>
    <t>truyền máu, hiến máu nhân đạo, xét nghiệm, ngân hàng máu, hỗ trợ bảo hiểm y tế, khám theo yêu cầu</t>
  </si>
  <si>
    <t>Bãi giữ xe máy, Bãi giữ xe ô tô, Khu ăn uống</t>
  </si>
  <si>
    <t>Bãi giữ xe máy, Bãi giữ xe ô tô, Khu ăn uống, Kết nối không dây</t>
  </si>
  <si>
    <t>Khám sức khỏe tổng quát, Kiểm tra tình hình sức khỏe định kỳ, Cấp cứu khẩn cấp</t>
  </si>
  <si>
    <t>Chấp nhận bệnh nhân chuyển lên từ tuyến dưới, Cấp cứu khẩn cấp, Bảo vệ an ninh, Khám bệnh dịch vụ, Đăng ký bảo hiểm y tế, Khám bệnh bảo hiểm y tế, Cấp cứu khẩn cấp</t>
  </si>
  <si>
    <t>Nội soi, Xét nghiệm, Phẫu thuật, Sinh lý sinh sản, Chuẩn đoán hình ảnh, Xét nghiệm, Hóa sinh</t>
  </si>
  <si>
    <t>tư vấn tâm lý, rối loạn sinh học, tư vấn mang thai, khám thai, chẩn đoán hình ảnh, xét nghiệm, triệu chứng, tư vấn điều trị, kiểm tra kết quả, xác nhận phác đồ điều trị</t>
  </si>
  <si>
    <t>Chấn thương chỉnh hình, Chuẩn đoán hình ảnh, Xét nghiệm, Vật lý trị liệu, Ung bướu</t>
  </si>
  <si>
    <t>Chấn thương chỉnh hình, Chuẩn đoán hình ảnh, Vật lý trị liệu</t>
  </si>
  <si>
    <t>Cấp cứu khẩn cấp, Khám bệnh bảo hiểm y tế, Khám bệnh dịch vụ, Điều hòa, Tủ lạnh riêng, TV riêng, Nút bấm gọi khẩn cấp</t>
  </si>
  <si>
    <t>Chăm sóc y tế tại gia, Theo dõi từ xa qua hệ thống máy quay, Tiếp nhận bệnh nhân mới, Chấp nhận bệnh nhân chuyển lên từ tuyến dưới, Phục vụ đồ ăn sáng, trưa, tối, Bảo vệ an ninh</t>
  </si>
  <si>
    <t>Cấp cứu khẩn cấp, Chấp nhận bệnh nhân chuyển lên từ tuyến dưới, Tiếp nhận bệnh nhân mới, Phòng vệ sinh riêng</t>
  </si>
  <si>
    <t>Kiểm tra tình hình sức khỏe định kỳ, Khám sức khỏe tổng quát</t>
  </si>
  <si>
    <t>Bảo vệ an ninh, Kiểm tra tình hình sức khỏe định kỳ, Nút bấm gọi khẩn cấp</t>
  </si>
  <si>
    <t>Bảo vệ an ninh, Chăm sóc y tế tại gia, Kiểm tra tình hình sức khỏe định kỳ, Phòng vệ sinh riêng, TV riêng, Tủ lạnh riêng, Tư vấn chế độ ăn uống, Dễ tiếp cận các phương tiện công cộng, Nút bấm gọi khẩn cấp</t>
  </si>
  <si>
    <t>Cấp cứu khẩn cấp, Khám bệnh bảo hiểm y tế, Đăng ký bảo hiểm y tế, Khám bệnh dịch vụ, Kiểm tra tình hình sức khỏe định kỳ</t>
  </si>
  <si>
    <t>Cấp cứu khẩn cấp, Kiểm tra tình hình sức khỏe định kỳ, Khám sức khỏe tổng quát, Đăng ký bảo hiểm y tế, Khám bệnh bảo hiểm y tế, Khám bệnh dịch vụ</t>
  </si>
  <si>
    <t>Bãi giữ xe máy, Bãi giữ xe ô tô, Bãi giữ xe đạp, Khu ăn uống</t>
  </si>
  <si>
    <t>Bãi giữ xe máy, Bãi giữ xe ô tô, Khu ăn uống, Khu vực cây xanh</t>
  </si>
  <si>
    <t>Bãi giữ xe máy, Bãi giữ xe ô tô, Khu ăn uống, Khu vực cây xanh, Khu vực rèn luyện sức khỏe, Khu vui chơi thiếu nhi, Nhà vệ sinh cho người khuyết tật</t>
  </si>
  <si>
    <t>Bãi giữ xe máy, Bãi giữ xe ô tô, Bãi giữ xe đạp, Khu ăn uống, Khu vực cây xanh, Tạp hóa</t>
  </si>
  <si>
    <t>Bãi giữ xe máy, Bãi giữ xe ô tô, Đường đi riêng cho người khuyết tật, Kết nối không dây, Khu ăn uống, Khu vui chơi thiếu nhi, Thông báo tái khám qua tin nhắn, Tra cứu thông tin trực tuyến</t>
  </si>
  <si>
    <t>Trợ tim, cấp cứu tim mạch, tắc mạch máu, phình động mạch chủ, hẹp van tin, khó thở, nhồi máu cơ tim, bác sỹ tay nghề cao, dịch vụ tốt, tận tâm</t>
  </si>
  <si>
    <t>Trợ tim, cấp cứu tim mạch, tắc mạch máu, phình động mạch chủ, hẹp van tin, khó thở, nhồi máu cơ tim, dịch vụ quốc tế, tiêu chuẩn cao, chăm sóc tận tình, gần trung tâm, khu đô thị mới, giãn tĩnh mạch tim</t>
  </si>
  <si>
    <t>Tai nạn giao thông, cấp cứu tai nạn, vật lý trị liệu, băng bó, nạng, xe lăn, khuôn viên rộng, thoáng mát, chuyên chỉnh hình</t>
  </si>
  <si>
    <t>An ninh, kiên nhẫn, tận tâm, tư vấn tâm lý, điều trị tâm lý, điều trị tổn thương, an ninh đảm bảo, nhân viên theo sát bệnh nhân, bác sỹ có kinh nghiệm, đưa đó tận nhà</t>
  </si>
  <si>
    <t>An ninh, kiên nhẫn, tận tâm, tư vấn tâm lý, điều trị tâm lý, điều trị tổn thương, an ninh đảm bảo, sát sao, theo dõi thường xuyên, báo cáo hằng ngày, gia đình yên tâm</t>
  </si>
  <si>
    <t>lao, phổi, ho, hô hấp mãn tính, hô hấp cấp tính, chuyên trị lao phổi, môi trường vô trùng đảm bảo, không ghép giường</t>
  </si>
  <si>
    <t>dịch vụ tốt, niềm vui cho mẹ và bé, mẹ tròn con vuông, thoải mái, yên tâm, tư vấn tâm lý, an ninh, mô trường vô trùng, lồng ấp, thụ tinh nhân tạo, vô sinh, hiến muộn, khuôn viên rộng, sinh bằng nhiều phương pháp</t>
  </si>
  <si>
    <t xml:space="preserve">dịch vụ tốt, niềm vui cho mẹ và bé, mẹ tròn con vuông, thoải mái, yên tâm, tư vấn tâm lý, an ninh, </t>
  </si>
  <si>
    <t>dịch vụ tốt, niềm vui cho mẹ và bé, mẹ tròn con vuông, thoải mái, yên tâm, tư vấn tâm lý, an ninh, môi trường vô trùng, lồng ấp, thụ tinh nhân tạo, vô sinh, hiến muộn</t>
  </si>
  <si>
    <t>ung thư, xạ trị, hóa trị liệu, khối u, ác tính, lành tính, tế bào, tổn thương nội tạng</t>
  </si>
  <si>
    <t>y học cổ truyền, châm cứu, mát xa, dược liệu, ngải cứu, đông y, nam dược, thuốc bắc, dược liệu hiếm</t>
  </si>
  <si>
    <t>tổn thương, ngoài da, sần sùi, trầy xước, lây nhiễm, ung thư da, cấy ghép</t>
  </si>
  <si>
    <t>tổn thương khúc mạc, giác mạc, cận thị, viễn thị, không nhìn rõ, lão, thoái hóa</t>
  </si>
  <si>
    <t>tổn thương khúc mạc, giác mạc, cận thị, viễn thị, không nhìn rõ, lão, thoái hóa, giá cá phù hợp, cấy ghép, hiến giác mạc</t>
  </si>
  <si>
    <t>tổn thương khúc mạc, giác mạc, cận thị, viễn thị, không nhìn rõ, lão, thoái hóa, cấy ghép, ghép giác mạc, lấy lại thị lực, dịch vụ tốt, bác sỹ có kinh nghiệm, tin tưởng, tận tình, an tâm, hiến giác mạc</t>
  </si>
  <si>
    <t>tổng hợp tai mũi họng, tai, mũi, họng, bác sỹ lành nghề, nhi khoa, ung thư vòng miện, khó thở, suyễn, suy giảm thính giác, trợ thính</t>
  </si>
  <si>
    <t>chỉnh sửa thẩm mỹ, nha khoa, răng, trám, nhổ, lấy tủy, chụp phim, máy máy hiện đại, cơ sớ vật chất đảm bảo, bác sỹ có tay nghề, kinh nghiệm</t>
  </si>
  <si>
    <t>Bệnh viện Quận 1</t>
  </si>
  <si>
    <t>07:30 - 16:30</t>
  </si>
  <si>
    <t>338</t>
  </si>
  <si>
    <t>Hai Bà Trưng</t>
  </si>
  <si>
    <t>(08) 38202060</t>
  </si>
  <si>
    <t>(08) 38202059</t>
  </si>
  <si>
    <t>(08) 38205141</t>
  </si>
  <si>
    <t>Bệnh thường gặp, Cấp cứu, Sản khoa - Phụ khoa, Sinh lý sinh sản, Nhi khoa, Gây mê, Hồi sức, Ngoại tổng hợp, Ngoại tổng quát, Nội tổng hợp, Nội tổng quát, Dược, Chuẩn đoán hình ảnh, Xét nghiệm, Phẫu thuật, Y học cổ truyền, Vật lý trị liệu</t>
  </si>
  <si>
    <t>Bảo vệ an ninh, Bình dưỡng khí, Cấp cứu khẩn cấp, Đăng ký bảo hiểm y tế, Khám bệnh bảo hiểm y tế, Liên lạc trực tiếp với nhân viên trực, Khám sức khỏe tổng quát</t>
  </si>
  <si>
    <t>đa khoa, cấp cứu tai nạn, sức khỏe nhân dân,  cấp cứu 24/7, bảo hiểm, chi phí thấp, trung tâm quận</t>
  </si>
  <si>
    <t>Bệnh viện Quận 10</t>
  </si>
  <si>
    <t>571</t>
  </si>
  <si>
    <t>(08) 38626978</t>
  </si>
  <si>
    <t>(08) 38626977</t>
  </si>
  <si>
    <t>Bệnh thường gặp, Cấp cứu, Bệnh truyền nhiễm, Da liễu, Hô hấp, Tư vấn tâm lý - Tâm thần, Sinh lý sinh sản, Dinh dưỡng, Dược, Xét nghiệm</t>
  </si>
  <si>
    <t>đa khoa, cấp cứu tai nạn, sức khỏe nhân dân,  cấp cứu 24/7, bảo hiểm, chi phí thấp, trung tâm quận, mô hình bác sĩ gia đình</t>
  </si>
  <si>
    <t>Bệnh viện Quận 11</t>
  </si>
  <si>
    <t>Đường số 5</t>
  </si>
  <si>
    <t>(08) 38585961</t>
  </si>
  <si>
    <t>Bệnh viện Quận 12</t>
  </si>
  <si>
    <t>111</t>
  </si>
  <si>
    <t>Đường Tân Thới Hiệp 21</t>
  </si>
  <si>
    <t>(08) 62502632</t>
  </si>
  <si>
    <t>Bệnh viện Quận 2</t>
  </si>
  <si>
    <t xml:space="preserve">130 </t>
  </si>
  <si>
    <t>Lê Văn Thịnh</t>
  </si>
  <si>
    <t>(08) 37432369</t>
  </si>
  <si>
    <t>Bệnh viện Quận 3</t>
  </si>
  <si>
    <t>114-116</t>
  </si>
  <si>
    <t>(08) 39310401</t>
  </si>
  <si>
    <t>(08) 39310402</t>
  </si>
  <si>
    <t>(08) 39318371</t>
  </si>
  <si>
    <t>Bệnh thường gặp, Cấp cứu, Ngoại tổng hợp, Nội tổng hợp, Sản khoa - Phụ khoa, Sinh lý sinh sản, Nhi khoa, Nội tổng quát, Ngoại tổng quát, Răng - Hàm - Mặt, Tai - Mũi - Họng, Mắt, Nội soi, Xét nghiệm</t>
  </si>
  <si>
    <r>
      <t>Bệnh viện</t>
    </r>
    <r>
      <rPr>
        <b/>
        <sz val="11"/>
        <color theme="1"/>
        <rFont val="Calibri"/>
        <family val="2"/>
        <scheme val="minor"/>
      </rPr>
      <t xml:space="preserve"> </t>
    </r>
    <r>
      <rPr>
        <sz val="11"/>
        <color theme="1"/>
        <rFont val="Calibri"/>
        <family val="2"/>
        <scheme val="minor"/>
      </rPr>
      <t>Quận 4</t>
    </r>
  </si>
  <si>
    <t>63-65</t>
  </si>
  <si>
    <t>Bến Vân Đồn</t>
  </si>
  <si>
    <t>(08) 38261568</t>
  </si>
  <si>
    <t>(08) 38267229</t>
  </si>
  <si>
    <t>Bệnh viện Quận 5</t>
  </si>
  <si>
    <t>644</t>
  </si>
  <si>
    <t>(08) 38550235</t>
  </si>
  <si>
    <t>(08) 38550895</t>
  </si>
  <si>
    <t>Bệnh viện Quận 6</t>
  </si>
  <si>
    <t>A14/1</t>
  </si>
  <si>
    <t>Cư xá Phú Lâm</t>
  </si>
  <si>
    <t>(08) 37508255</t>
  </si>
  <si>
    <t>Bệnh viện Quận 7</t>
  </si>
  <si>
    <t>101</t>
  </si>
  <si>
    <t>Nguyễn Thị Thập</t>
  </si>
  <si>
    <t>(08) 37731421</t>
  </si>
  <si>
    <t>(08) 3873064</t>
  </si>
  <si>
    <t>Bệnh viện Quận 8</t>
  </si>
  <si>
    <t xml:space="preserve">82 </t>
  </si>
  <si>
    <t>Cao Lỗ</t>
  </si>
  <si>
    <t>(08) 38503615</t>
  </si>
  <si>
    <t>(08) 3850613</t>
  </si>
  <si>
    <t>Bệnh viện Quận 9</t>
  </si>
  <si>
    <t>Khu phố 2 Lê Văn Việt</t>
  </si>
  <si>
    <t>(08) 38973628</t>
  </si>
  <si>
    <t>Bệnh thường gặp, Cấp cứu, Hồi sức, Ngoại tổng hợp, Nội tổng hợp, Sản khoa - Phụ khoa, Y học cổ truyền, Phục hồi chức năng, Dinh dưỡng, Chuẩn đoán hình ảnh, Xét nghiệm, Bệnh truyền nhiễm, Dược</t>
  </si>
  <si>
    <t>Bệnh viện Huyện Bình Chánh</t>
  </si>
  <si>
    <t>E9/5</t>
  </si>
  <si>
    <t>Nguyễn Hữu Trí</t>
  </si>
  <si>
    <t>(08) 37602895</t>
  </si>
  <si>
    <t>Bệnh viện Quận Bình Tân</t>
  </si>
  <si>
    <t>1452</t>
  </si>
  <si>
    <t>Tỉnh lộ 10</t>
  </si>
  <si>
    <t>(08) 37541784</t>
  </si>
  <si>
    <t>Bệnh viện Quận Bình Thạnh</t>
  </si>
  <si>
    <t xml:space="preserve">112 </t>
  </si>
  <si>
    <t>Đinh Tiên Hoàng</t>
  </si>
  <si>
    <t>(08) 38888347</t>
  </si>
  <si>
    <t>(08) 38417403</t>
  </si>
  <si>
    <t>(08) 38418492</t>
  </si>
  <si>
    <t>Bệnh viện Huyện Cần Giờ</t>
  </si>
  <si>
    <t>06:30 - 16:30</t>
  </si>
  <si>
    <t>Đường Duyên Hải, Khu phố Miễu Nhì</t>
  </si>
  <si>
    <t>(08) 38740318</t>
  </si>
  <si>
    <t>Bệnh viện Huyện Củ Chi</t>
  </si>
  <si>
    <t>258</t>
  </si>
  <si>
    <t>Tỉnh lộ 7, Ấp Chợ</t>
  </si>
  <si>
    <t>(08) 37946443</t>
  </si>
  <si>
    <t>Bệnh viện Quận Gò Vấp</t>
  </si>
  <si>
    <t>212</t>
  </si>
  <si>
    <t>Lê Đức Thọ</t>
  </si>
  <si>
    <t>(08) 39964003</t>
  </si>
  <si>
    <t>Bệnh viện Huyện Hóc Môn</t>
  </si>
  <si>
    <t>65/2B</t>
  </si>
  <si>
    <t>Bà Triệu</t>
  </si>
  <si>
    <t>(08) 38914208</t>
  </si>
  <si>
    <t>281A</t>
  </si>
  <si>
    <t>Lê Văn Lương</t>
  </si>
  <si>
    <t>(08) 37815558</t>
  </si>
  <si>
    <t>(08) 37816570</t>
  </si>
  <si>
    <t>(08) 37817068</t>
  </si>
  <si>
    <t>Bệnh viện Quận Phú Nhuận</t>
  </si>
  <si>
    <t>274</t>
  </si>
  <si>
    <t>Nguyễn Trọng Tuyển</t>
  </si>
  <si>
    <t>(08) 38478707</t>
  </si>
  <si>
    <t>Bệnh viện Quận Tân Bình</t>
  </si>
  <si>
    <t>605</t>
  </si>
  <si>
    <t>Hoàng Văn Thụ</t>
  </si>
  <si>
    <t>Bệnh viện Quận Tân Phú</t>
  </si>
  <si>
    <t>34</t>
  </si>
  <si>
    <t>Trần Văn Giáp</t>
  </si>
  <si>
    <t>(08) 38657948</t>
  </si>
  <si>
    <t>(08) 54088924</t>
  </si>
  <si>
    <t>(08) 54067581</t>
  </si>
  <si>
    <t>Bệnh viện Quận Thủ Đức</t>
  </si>
  <si>
    <t xml:space="preserve">64 </t>
  </si>
  <si>
    <t>Lê Văn Chí</t>
  </si>
  <si>
    <t>(08) 37223556</t>
  </si>
  <si>
    <t>(08) 37222522</t>
  </si>
  <si>
    <t>dịch vụ tốt, niềm vui cho mẹ và bé, mẹ tròn con vuông, thoải mái, yên tâm, tư vấn tâm lý, an ninh, môi trường vô trùng, lồng ấp, thụ tinh nhân tạo, vô sinh, hiến muộn, khuôn viên rộng, sinh bằng nhiều phương pháp</t>
  </si>
</sst>
</file>

<file path=xl/styles.xml><?xml version="1.0" encoding="utf-8"?>
<styleSheet xmlns="http://schemas.openxmlformats.org/spreadsheetml/2006/main" xmlns:mc="http://schemas.openxmlformats.org/markup-compatibility/2006" xmlns:x14ac="http://schemas.microsoft.com/office/spreadsheetml/2009/9/ac" mc:Ignorable="x14ac">
  <fonts count="7" x14ac:knownFonts="1">
    <font>
      <sz val="11"/>
      <color theme="1"/>
      <name val="Calibri"/>
      <family val="2"/>
      <scheme val="minor"/>
    </font>
    <font>
      <b/>
      <sz val="15"/>
      <color rgb="FFFFFF00"/>
      <name val="Calibri"/>
      <family val="2"/>
      <scheme val="minor"/>
    </font>
    <font>
      <sz val="10"/>
      <color rgb="FF333333"/>
      <name val="Verdana"/>
      <family val="2"/>
    </font>
    <font>
      <b/>
      <sz val="11"/>
      <color rgb="FFFFFF00"/>
      <name val="Calibri"/>
      <family val="2"/>
      <scheme val="minor"/>
    </font>
    <font>
      <sz val="10"/>
      <color rgb="FF222222"/>
      <name val="Arial"/>
      <family val="2"/>
    </font>
    <font>
      <u/>
      <sz val="11"/>
      <color theme="10"/>
      <name val="Calibri"/>
      <family val="2"/>
    </font>
    <font>
      <b/>
      <sz val="11"/>
      <color theme="1"/>
      <name val="Calibri"/>
      <family val="2"/>
      <scheme val="minor"/>
    </font>
  </fonts>
  <fills count="4">
    <fill>
      <patternFill patternType="none"/>
    </fill>
    <fill>
      <patternFill patternType="gray125"/>
    </fill>
    <fill>
      <patternFill patternType="solid">
        <fgColor theme="4"/>
        <bgColor indexed="64"/>
      </patternFill>
    </fill>
    <fill>
      <patternFill patternType="solid">
        <fgColor theme="0"/>
        <bgColor indexed="64"/>
      </patternFill>
    </fill>
  </fills>
  <borders count="10">
    <border>
      <left/>
      <right/>
      <top/>
      <bottom/>
      <diagonal/>
    </border>
    <border>
      <left style="medium">
        <color auto="1"/>
      </left>
      <right style="thin">
        <color auto="1"/>
      </right>
      <top style="medium">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s>
  <cellStyleXfs count="2">
    <xf numFmtId="0" fontId="0" fillId="0" borderId="0"/>
    <xf numFmtId="0" fontId="5" fillId="0" borderId="0" applyNumberFormat="0" applyFill="0" applyBorder="0" applyAlignment="0" applyProtection="0">
      <alignment vertical="top"/>
      <protection locked="0"/>
    </xf>
  </cellStyleXfs>
  <cellXfs count="56">
    <xf numFmtId="0" fontId="0" fillId="0" borderId="0" xfId="0"/>
    <xf numFmtId="0" fontId="1" fillId="2" borderId="1" xfId="0" applyFont="1" applyFill="1" applyBorder="1" applyAlignment="1">
      <alignment vertical="top" wrapText="1"/>
    </xf>
    <xf numFmtId="49" fontId="0" fillId="0" borderId="2" xfId="0" applyNumberFormat="1" applyBorder="1"/>
    <xf numFmtId="0" fontId="0" fillId="0" borderId="2" xfId="0" applyBorder="1"/>
    <xf numFmtId="0" fontId="0" fillId="0" borderId="3" xfId="0" applyBorder="1"/>
    <xf numFmtId="49" fontId="1" fillId="2" borderId="1" xfId="0" applyNumberFormat="1" applyFont="1" applyFill="1" applyBorder="1" applyAlignment="1">
      <alignment vertical="top" wrapText="1"/>
    </xf>
    <xf numFmtId="49" fontId="1" fillId="2" borderId="4" xfId="0" applyNumberFormat="1" applyFont="1" applyFill="1" applyBorder="1" applyAlignment="1">
      <alignment vertical="top" wrapText="1"/>
    </xf>
    <xf numFmtId="49" fontId="1" fillId="2" borderId="5" xfId="0" applyNumberFormat="1" applyFont="1" applyFill="1" applyBorder="1" applyAlignment="1">
      <alignment vertical="top" wrapText="1"/>
    </xf>
    <xf numFmtId="49" fontId="0" fillId="0" borderId="6" xfId="0" applyNumberFormat="1" applyBorder="1"/>
    <xf numFmtId="0" fontId="0" fillId="0" borderId="7" xfId="0" applyBorder="1"/>
    <xf numFmtId="0" fontId="0" fillId="0" borderId="9" xfId="0" applyBorder="1"/>
    <xf numFmtId="0" fontId="1" fillId="2" borderId="5" xfId="0" applyFont="1" applyFill="1" applyBorder="1" applyAlignment="1">
      <alignment vertical="top" wrapText="1"/>
    </xf>
    <xf numFmtId="49" fontId="0" fillId="0" borderId="3" xfId="0" applyNumberFormat="1" applyBorder="1"/>
    <xf numFmtId="49" fontId="0" fillId="0" borderId="7" xfId="0" applyNumberFormat="1" applyBorder="1"/>
    <xf numFmtId="49" fontId="0" fillId="0" borderId="8" xfId="0" applyNumberFormat="1" applyBorder="1"/>
    <xf numFmtId="49" fontId="0" fillId="0" borderId="9" xfId="0" applyNumberFormat="1" applyBorder="1"/>
    <xf numFmtId="0" fontId="0" fillId="0" borderId="6" xfId="0" applyBorder="1"/>
    <xf numFmtId="0" fontId="3" fillId="2" borderId="1" xfId="0" applyFont="1" applyFill="1" applyBorder="1" applyAlignment="1">
      <alignment vertical="center" wrapText="1"/>
    </xf>
    <xf numFmtId="0" fontId="3" fillId="2" borderId="4" xfId="0" applyFont="1" applyFill="1" applyBorder="1" applyAlignment="1">
      <alignment vertical="center" wrapText="1"/>
    </xf>
    <xf numFmtId="0" fontId="3" fillId="2" borderId="5" xfId="0" applyFont="1" applyFill="1" applyBorder="1" applyAlignment="1">
      <alignment vertical="center" wrapText="1"/>
    </xf>
    <xf numFmtId="49" fontId="0" fillId="0" borderId="0" xfId="0" applyNumberFormat="1"/>
    <xf numFmtId="49" fontId="0" fillId="0" borderId="0" xfId="0" applyNumberFormat="1" applyBorder="1"/>
    <xf numFmtId="49" fontId="3" fillId="2" borderId="4" xfId="0" applyNumberFormat="1" applyFont="1" applyFill="1" applyBorder="1" applyAlignment="1">
      <alignment vertical="center" wrapText="1"/>
    </xf>
    <xf numFmtId="49" fontId="3" fillId="2" borderId="0" xfId="0" applyNumberFormat="1" applyFont="1" applyFill="1" applyBorder="1" applyAlignment="1">
      <alignment vertical="center" wrapText="1"/>
    </xf>
    <xf numFmtId="0" fontId="0" fillId="0" borderId="6" xfId="0" applyBorder="1" applyAlignment="1">
      <alignment vertical="top"/>
    </xf>
    <xf numFmtId="49" fontId="0" fillId="0" borderId="6" xfId="0" applyNumberFormat="1" applyBorder="1" applyAlignment="1">
      <alignment vertical="top"/>
    </xf>
    <xf numFmtId="0" fontId="0" fillId="0" borderId="6" xfId="0" applyBorder="1" applyAlignment="1">
      <alignment vertical="top" wrapText="1"/>
    </xf>
    <xf numFmtId="49" fontId="0" fillId="0" borderId="7" xfId="0" applyNumberFormat="1" applyBorder="1" applyAlignment="1">
      <alignment vertical="top" wrapText="1"/>
    </xf>
    <xf numFmtId="49" fontId="2" fillId="0" borderId="6" xfId="0" applyNumberFormat="1" applyFont="1" applyBorder="1" applyAlignment="1">
      <alignment vertical="top"/>
    </xf>
    <xf numFmtId="0" fontId="0" fillId="0" borderId="8" xfId="0" applyBorder="1" applyAlignment="1">
      <alignment vertical="top"/>
    </xf>
    <xf numFmtId="49" fontId="0" fillId="0" borderId="8" xfId="0" applyNumberFormat="1" applyBorder="1" applyAlignment="1">
      <alignment vertical="top"/>
    </xf>
    <xf numFmtId="0" fontId="0" fillId="0" borderId="8" xfId="0" applyBorder="1" applyAlignment="1">
      <alignment vertical="top" wrapText="1"/>
    </xf>
    <xf numFmtId="49" fontId="0" fillId="0" borderId="9" xfId="0" applyNumberFormat="1" applyBorder="1" applyAlignment="1">
      <alignment vertical="top" wrapText="1"/>
    </xf>
    <xf numFmtId="20" fontId="0" fillId="0" borderId="6" xfId="0" applyNumberFormat="1" applyBorder="1" applyAlignment="1">
      <alignment vertical="top"/>
    </xf>
    <xf numFmtId="0" fontId="0" fillId="0" borderId="2" xfId="0" applyBorder="1" applyAlignment="1">
      <alignment vertical="top" wrapText="1"/>
    </xf>
    <xf numFmtId="0" fontId="0" fillId="0" borderId="3" xfId="0" applyBorder="1" applyAlignment="1">
      <alignment vertical="top" wrapText="1"/>
    </xf>
    <xf numFmtId="0" fontId="0" fillId="0" borderId="0" xfId="0" applyAlignment="1">
      <alignment wrapText="1"/>
    </xf>
    <xf numFmtId="0" fontId="4" fillId="0" borderId="0" xfId="0" applyFont="1"/>
    <xf numFmtId="0" fontId="5" fillId="0" borderId="6" xfId="1" applyBorder="1" applyAlignment="1" applyProtection="1">
      <alignment vertical="top"/>
    </xf>
    <xf numFmtId="49" fontId="5" fillId="0" borderId="6" xfId="1" applyNumberFormat="1" applyBorder="1" applyAlignment="1" applyProtection="1">
      <alignment vertical="top"/>
    </xf>
    <xf numFmtId="0" fontId="0" fillId="3" borderId="2" xfId="0" applyFill="1" applyBorder="1" applyAlignment="1">
      <alignment vertical="top" wrapText="1"/>
    </xf>
    <xf numFmtId="0" fontId="0" fillId="3" borderId="6" xfId="0" applyFill="1" applyBorder="1" applyAlignment="1">
      <alignment vertical="top"/>
    </xf>
    <xf numFmtId="49" fontId="0" fillId="3" borderId="6" xfId="0" applyNumberFormat="1" applyFill="1" applyBorder="1" applyAlignment="1">
      <alignment vertical="top"/>
    </xf>
    <xf numFmtId="0" fontId="0" fillId="3" borderId="6" xfId="0" applyFill="1" applyBorder="1" applyAlignment="1">
      <alignment vertical="top" wrapText="1"/>
    </xf>
    <xf numFmtId="49" fontId="0" fillId="3" borderId="7" xfId="0" applyNumberFormat="1" applyFill="1" applyBorder="1" applyAlignment="1">
      <alignment vertical="top" wrapText="1"/>
    </xf>
    <xf numFmtId="49" fontId="0" fillId="3" borderId="0" xfId="0" applyNumberFormat="1" applyFill="1"/>
    <xf numFmtId="49" fontId="0" fillId="3" borderId="0" xfId="0" applyNumberFormat="1" applyFill="1" applyBorder="1"/>
    <xf numFmtId="0" fontId="0" fillId="3" borderId="0" xfId="0" applyFill="1"/>
    <xf numFmtId="49" fontId="0" fillId="3" borderId="6" xfId="0" applyNumberFormat="1" applyFill="1" applyBorder="1" applyAlignment="1">
      <alignment vertical="top" wrapText="1"/>
    </xf>
    <xf numFmtId="49" fontId="0" fillId="3" borderId="0" xfId="0" applyNumberFormat="1" applyFill="1" applyAlignment="1">
      <alignment vertical="top"/>
    </xf>
    <xf numFmtId="0" fontId="0" fillId="0" borderId="6" xfId="0" applyBorder="1" applyAlignment="1">
      <alignment vertical="top"/>
    </xf>
    <xf numFmtId="49" fontId="0" fillId="0" borderId="6" xfId="0" applyNumberFormat="1" applyBorder="1" applyAlignment="1">
      <alignment vertical="top"/>
    </xf>
    <xf numFmtId="0" fontId="0" fillId="0" borderId="6" xfId="0" applyBorder="1" applyAlignment="1">
      <alignment vertical="top" wrapText="1"/>
    </xf>
    <xf numFmtId="49" fontId="0" fillId="0" borderId="7" xfId="0" applyNumberFormat="1" applyBorder="1" applyAlignment="1">
      <alignment vertical="top" wrapText="1"/>
    </xf>
    <xf numFmtId="49" fontId="0" fillId="3" borderId="6" xfId="0" applyNumberFormat="1" applyFill="1" applyBorder="1" applyAlignment="1">
      <alignment vertical="top"/>
    </xf>
    <xf numFmtId="49" fontId="0" fillId="0" borderId="2" xfId="0" applyNumberFormat="1" applyBorder="1" applyAlignment="1">
      <alignment vertical="top"/>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www.bvdnd.vn/" TargetMode="External"/><Relationship Id="rId13" Type="http://schemas.openxmlformats.org/officeDocument/2006/relationships/printerSettings" Target="../printerSettings/printerSettings1.bin"/><Relationship Id="rId3" Type="http://schemas.openxmlformats.org/officeDocument/2006/relationships/hyperlink" Target="mailto:info@trieuan.vn" TargetMode="External"/><Relationship Id="rId7" Type="http://schemas.openxmlformats.org/officeDocument/2006/relationships/hyperlink" Target="http://www.bvdaihoc.com.vn/" TargetMode="External"/><Relationship Id="rId12" Type="http://schemas.openxmlformats.org/officeDocument/2006/relationships/hyperlink" Target="http://www.bthh.org.vn/" TargetMode="External"/><Relationship Id="rId2" Type="http://schemas.openxmlformats.org/officeDocument/2006/relationships/hyperlink" Target="http://www.benhvien304.vn/" TargetMode="External"/><Relationship Id="rId1" Type="http://schemas.openxmlformats.org/officeDocument/2006/relationships/hyperlink" Target="http://www.benhvien115.com.vn/" TargetMode="External"/><Relationship Id="rId6" Type="http://schemas.openxmlformats.org/officeDocument/2006/relationships/hyperlink" Target="mailto:bvdh@hcm.vnn.vn" TargetMode="External"/><Relationship Id="rId11" Type="http://schemas.openxmlformats.org/officeDocument/2006/relationships/hyperlink" Target="http://www.pasteur-hcm.org.vn/" TargetMode="External"/><Relationship Id="rId5" Type="http://schemas.openxmlformats.org/officeDocument/2006/relationships/hyperlink" Target="http://www.hoanmy.com/saigon/" TargetMode="External"/><Relationship Id="rId10" Type="http://schemas.openxmlformats.org/officeDocument/2006/relationships/hyperlink" Target="http://www.nhidong.org.vn/" TargetMode="External"/><Relationship Id="rId4" Type="http://schemas.openxmlformats.org/officeDocument/2006/relationships/hyperlink" Target="http://www.trieuan.vn/" TargetMode="External"/><Relationship Id="rId9" Type="http://schemas.openxmlformats.org/officeDocument/2006/relationships/hyperlink" Target="http://www.nhidong.org.vn/"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Y200"/>
  <sheetViews>
    <sheetView tabSelected="1"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40.28515625" style="36" customWidth="1"/>
    <col min="2" max="2" width="28.85546875" customWidth="1"/>
    <col min="3" max="3" width="27.7109375" customWidth="1"/>
    <col min="4" max="4" width="27.7109375" bestFit="1" customWidth="1"/>
    <col min="5" max="5" width="23.140625" bestFit="1" customWidth="1"/>
    <col min="6" max="6" width="25.7109375" customWidth="1"/>
    <col min="7" max="7" width="16.5703125" customWidth="1"/>
    <col min="8" max="8" width="27" customWidth="1"/>
    <col min="9" max="9" width="20.7109375" customWidth="1"/>
    <col min="10" max="10" width="21.85546875" customWidth="1"/>
    <col min="11" max="11" width="20.5703125" customWidth="1"/>
    <col min="12" max="12" width="18" style="20" bestFit="1" customWidth="1"/>
    <col min="13" max="13" width="20.5703125" style="20" bestFit="1" customWidth="1"/>
    <col min="14" max="15" width="20.5703125" style="20" customWidth="1"/>
    <col min="16" max="16" width="42.7109375" bestFit="1" customWidth="1"/>
    <col min="17" max="17" width="41.28515625" bestFit="1" customWidth="1"/>
    <col min="18" max="21" width="46.7109375" customWidth="1"/>
    <col min="22" max="22" width="7.28515625" style="20" bestFit="1" customWidth="1"/>
    <col min="23" max="23" width="10.140625" style="20" bestFit="1" customWidth="1"/>
    <col min="24" max="24" width="8.7109375" style="20" bestFit="1" customWidth="1"/>
    <col min="25" max="25" width="8.140625" style="20" bestFit="1" customWidth="1"/>
  </cols>
  <sheetData>
    <row r="1" spans="1:25" ht="30" x14ac:dyDescent="0.25">
      <c r="A1" s="17" t="s">
        <v>0</v>
      </c>
      <c r="B1" s="18" t="s">
        <v>1</v>
      </c>
      <c r="C1" s="18" t="s">
        <v>2</v>
      </c>
      <c r="D1" s="18" t="s">
        <v>3</v>
      </c>
      <c r="E1" s="18" t="s">
        <v>4</v>
      </c>
      <c r="F1" s="18" t="s">
        <v>5</v>
      </c>
      <c r="G1" s="18" t="s">
        <v>6</v>
      </c>
      <c r="H1" s="18" t="s">
        <v>7</v>
      </c>
      <c r="I1" s="18" t="s">
        <v>8</v>
      </c>
      <c r="J1" s="18" t="s">
        <v>9</v>
      </c>
      <c r="K1" s="18" t="s">
        <v>10</v>
      </c>
      <c r="L1" s="22" t="s">
        <v>28</v>
      </c>
      <c r="M1" s="22" t="s">
        <v>29</v>
      </c>
      <c r="N1" s="22" t="s">
        <v>30</v>
      </c>
      <c r="O1" s="22" t="s">
        <v>31</v>
      </c>
      <c r="P1" s="18" t="s">
        <v>322</v>
      </c>
      <c r="Q1" s="18" t="s">
        <v>323</v>
      </c>
      <c r="R1" s="18" t="s">
        <v>324</v>
      </c>
      <c r="S1" s="18" t="s">
        <v>257</v>
      </c>
      <c r="T1" s="18" t="s">
        <v>289</v>
      </c>
      <c r="U1" s="19" t="s">
        <v>326</v>
      </c>
      <c r="V1" s="23" t="s">
        <v>319</v>
      </c>
      <c r="W1" s="23" t="s">
        <v>320</v>
      </c>
      <c r="X1" s="23" t="s">
        <v>321</v>
      </c>
      <c r="Y1" s="23" t="s">
        <v>318</v>
      </c>
    </row>
    <row r="2" spans="1:25" ht="75" x14ac:dyDescent="0.25">
      <c r="A2" s="34" t="s">
        <v>530</v>
      </c>
      <c r="B2" s="24" t="s">
        <v>311</v>
      </c>
      <c r="C2" s="24" t="s">
        <v>533</v>
      </c>
      <c r="D2" s="24" t="s">
        <v>533</v>
      </c>
      <c r="E2" s="24" t="b">
        <v>0</v>
      </c>
      <c r="F2" s="24"/>
      <c r="G2" s="25" t="s">
        <v>534</v>
      </c>
      <c r="H2" s="25" t="s">
        <v>535</v>
      </c>
      <c r="I2" s="25" t="s">
        <v>12</v>
      </c>
      <c r="J2" s="25" t="s">
        <v>327</v>
      </c>
      <c r="K2" s="25" t="s">
        <v>346</v>
      </c>
      <c r="L2" s="25" t="s">
        <v>531</v>
      </c>
      <c r="M2" s="25" t="s">
        <v>532</v>
      </c>
      <c r="N2" s="25" t="s">
        <v>536</v>
      </c>
      <c r="O2" s="25" t="s">
        <v>532</v>
      </c>
      <c r="P2" s="25" t="s">
        <v>537</v>
      </c>
      <c r="Q2" s="24" t="s">
        <v>562</v>
      </c>
      <c r="R2" s="26" t="s">
        <v>549</v>
      </c>
      <c r="S2" s="26" t="s">
        <v>564</v>
      </c>
      <c r="T2" s="26" t="s">
        <v>538</v>
      </c>
      <c r="U2" s="27" t="s">
        <v>552</v>
      </c>
      <c r="V2" s="20">
        <f>IF(I2 &lt;&gt; "", VLOOKUP(I2, City!$A$1:$B$2, 2, FALSE), "" )</f>
        <v>79</v>
      </c>
      <c r="W2" s="20">
        <f>IF(J2 &lt;&gt; "", VLOOKUP(J2, District!$A$1:$B$25, 2, FALSE), "")</f>
        <v>760</v>
      </c>
      <c r="X2" s="21">
        <f>IF(K2 &lt;&gt; "", VLOOKUP(K2, IF(J2="Quận 1", Ward!$A$2:$B$11, IF(J2="Quận 2", Ward!$C$2:$D$12, IF(J2="Quận 3", Ward!$E$2:$F$15, IF(J2="Quận 4", Ward!$G$2:$H$16, IF(J2="Quận 5", Ward!$I$2:$J$16, IF(J2="Quận 6", Ward!$K$2:$L$15, IF(J2="Quận 7", Ward!$M$2:$N$11, IF(J2="Quận 8", Ward!$O$2:$P$17, IF(J2="Quận 9", Ward!$Q$2:$R$14, IF(J2="Quận 10", Ward!$S$2:$T$16, IF(J2="Quận 11", Ward!$U$2:$V$17, IF(J2="Quận 12", Ward!$W$2:$X$12, IF(J2="Huyện Bình Chánh", Ward!$Y$2:$Z$17, IF(J2="Quận Bình Tân", Ward!$AA$2:$AB$11, IF(J2="Quận Bình Thạnh", Ward!$AC$2:$AD$21, IF(J2="Huyện Cần Giờ", Ward!$AE$2:$AF$8, IF(J2="Huyện Củ Chi", Ward!$AG$2:$AH$22, IF(J2="Quận Gò Vấp", Ward!$AI$2:$AJ$17, IF(J2="Huyện Hóc Môn", Ward!$AK$2:$AL$13, IF(J2="Huyện Nhà Bè", Ward!$AM$2:$AN$8, IF(J2="Quận Phú Nhuận", Ward!$AO$2:$AP$16, IF(J2="Quận Tân Bình", Ward!$AQ$2:$AR$16, IF(J2="Quận Tân Phú", Ward!$AS$2:$AT$12, IF(J2="Quận Thủ Đức", Ward!$AU$2:$AV$13)))))))))))))))))))))))), 2, FALSE), "")</f>
        <v>26740</v>
      </c>
      <c r="Y2" s="20">
        <f>IF(B2 &lt;&gt; "", VLOOKUP(B2, HospitalType!$A$2:$B$9, 2, FALSE), "")</f>
        <v>3</v>
      </c>
    </row>
    <row r="3" spans="1:25" ht="120" x14ac:dyDescent="0.25">
      <c r="A3" s="34" t="s">
        <v>626</v>
      </c>
      <c r="B3" s="24" t="s">
        <v>311</v>
      </c>
      <c r="C3" s="24" t="s">
        <v>553</v>
      </c>
      <c r="D3" s="24" t="s">
        <v>553</v>
      </c>
      <c r="E3" s="24" t="b">
        <v>0</v>
      </c>
      <c r="F3" s="24"/>
      <c r="G3" s="28" t="s">
        <v>539</v>
      </c>
      <c r="H3" s="28" t="s">
        <v>540</v>
      </c>
      <c r="I3" s="25" t="s">
        <v>12</v>
      </c>
      <c r="J3" s="25" t="s">
        <v>327</v>
      </c>
      <c r="K3" s="25" t="s">
        <v>346</v>
      </c>
      <c r="L3" s="25" t="s">
        <v>543</v>
      </c>
      <c r="M3" s="25" t="s">
        <v>551</v>
      </c>
      <c r="N3" s="25"/>
      <c r="O3" s="25" t="s">
        <v>551</v>
      </c>
      <c r="P3" s="25" t="s">
        <v>544</v>
      </c>
      <c r="Q3" s="24" t="s">
        <v>546</v>
      </c>
      <c r="R3" s="26" t="s">
        <v>568</v>
      </c>
      <c r="S3" s="26" t="s">
        <v>578</v>
      </c>
      <c r="T3" s="26" t="s">
        <v>550</v>
      </c>
      <c r="U3" s="27" t="s">
        <v>554</v>
      </c>
      <c r="V3" s="20">
        <f>IF(I3 &lt;&gt; "", VLOOKUP(I3, City!$A$1:$B$2, 2, FALSE), "" )</f>
        <v>79</v>
      </c>
      <c r="W3" s="20">
        <f>IF(J3 &lt;&gt; "", VLOOKUP(J3, District!$A$1:$B$25, 2, FALSE), "")</f>
        <v>760</v>
      </c>
      <c r="X3" s="21">
        <f>IF(K3 &lt;&gt; "", VLOOKUP(K3, IF(J3="Quận 1", Ward!$A$2:$B$11, IF(J3="Quận 2", Ward!$C$2:$D$12, IF(J3="Quận 3", Ward!$E$2:$F$15, IF(J3="Quận 4", Ward!$G$2:$H$16, IF(J3="Quận 5", Ward!$I$2:$J$16, IF(J3="Quận 6", Ward!$K$2:$L$15, IF(J3="Quận 7", Ward!$M$2:$N$11, IF(J3="Quận 8", Ward!$O$2:$P$17, IF(J3="Quận 9", Ward!$Q$2:$R$14, IF(J3="Quận 10", Ward!$S$2:$T$16, IF(J3="Quận 11", Ward!$U$2:$V$17, IF(J3="Quận 12", Ward!$W$2:$X$12, IF(J3="Huyện Bình Chánh", Ward!$Y$2:$Z$17, IF(J3="Quận Bình Tân", Ward!$AA$2:$AB$11, IF(J3="Quận Bình Thạnh", Ward!$AC$2:$AD$21, IF(J3="Huyện Cần Giờ", Ward!$AE$2:$AF$8, IF(J3="Huyện Củ Chi", Ward!$AG$2:$AH$22, IF(J3="Quận Gò Vấp", Ward!$AI$2:$AJ$17, IF(J3="Huyện Hóc Môn", Ward!$AK$2:$AL$13, IF(J3="Huyện Nhà Bè", Ward!$AM$2:$AN$8, IF(J3="Quận Phú Nhuận", Ward!$AO$2:$AP$16, IF(J3="Quận Tân Bình", Ward!$AQ$2:$AR$16, IF(J3="Quận Tân Phú", Ward!$AS$2:$AT$12, IF(J3="Quận Thủ Đức", Ward!$AU$2:$AV$13)))))))))))))))))))))))), 2, FALSE), "")</f>
        <v>26740</v>
      </c>
      <c r="Y3" s="20">
        <f>IF(B3 &lt;&gt; "", VLOOKUP(B3, HospitalType!$A$2:$B$9, 2, FALSE), "")</f>
        <v>3</v>
      </c>
    </row>
    <row r="4" spans="1:25" ht="120" x14ac:dyDescent="0.25">
      <c r="A4" s="34" t="s">
        <v>627</v>
      </c>
      <c r="B4" s="24" t="s">
        <v>311</v>
      </c>
      <c r="C4" s="24" t="s">
        <v>553</v>
      </c>
      <c r="D4" s="24" t="s">
        <v>553</v>
      </c>
      <c r="E4" s="24" t="b">
        <v>0</v>
      </c>
      <c r="F4" s="24"/>
      <c r="G4" s="25" t="s">
        <v>547</v>
      </c>
      <c r="H4" s="25" t="s">
        <v>548</v>
      </c>
      <c r="I4" s="25" t="s">
        <v>12</v>
      </c>
      <c r="J4" s="25" t="s">
        <v>331</v>
      </c>
      <c r="K4" s="25" t="s">
        <v>365</v>
      </c>
      <c r="L4" s="25" t="s">
        <v>541</v>
      </c>
      <c r="M4" s="25" t="s">
        <v>542</v>
      </c>
      <c r="N4" s="25"/>
      <c r="O4" s="25" t="s">
        <v>551</v>
      </c>
      <c r="P4" s="25" t="s">
        <v>545</v>
      </c>
      <c r="Q4" s="24" t="s">
        <v>546</v>
      </c>
      <c r="R4" s="26" t="s">
        <v>568</v>
      </c>
      <c r="S4" s="26" t="s">
        <v>578</v>
      </c>
      <c r="T4" s="26" t="s">
        <v>550</v>
      </c>
      <c r="U4" s="27" t="s">
        <v>554</v>
      </c>
      <c r="V4" s="20">
        <f>IF(I4 &lt;&gt; "", VLOOKUP(I4, City!$A$1:$B$2, 2, FALSE), "" )</f>
        <v>79</v>
      </c>
      <c r="W4" s="20">
        <f>IF(J4 &lt;&gt; "", VLOOKUP(J4, District!$A$1:$B$25, 2, FALSE), "")</f>
        <v>769</v>
      </c>
      <c r="X4" s="21">
        <f>IF(K4 &lt;&gt; "", VLOOKUP(K4, IF(J4="Quận 1", Ward!$A$2:$B$11, IF(J4="Quận 2", Ward!$C$2:$D$12, IF(J4="Quận 3", Ward!$E$2:$F$15, IF(J4="Quận 4", Ward!$G$2:$H$16, IF(J4="Quận 5", Ward!$I$2:$J$16, IF(J4="Quận 6", Ward!$K$2:$L$15, IF(J4="Quận 7", Ward!$M$2:$N$11, IF(J4="Quận 8", Ward!$O$2:$P$17, IF(J4="Quận 9", Ward!$Q$2:$R$14, IF(J4="Quận 10", Ward!$S$2:$T$16, IF(J4="Quận 11", Ward!$U$2:$V$17, IF(J4="Quận 12", Ward!$W$2:$X$12, IF(J4="Huyện Bình Chánh", Ward!$Y$2:$Z$17, IF(J4="Quận Bình Tân", Ward!$AA$2:$AB$11, IF(J4="Quận Bình Thạnh", Ward!$AC$2:$AD$21, IF(J4="Huyện Cần Giờ", Ward!$AE$2:$AF$8, IF(J4="Huyện Củ Chi", Ward!$AG$2:$AH$22, IF(J4="Quận Gò Vấp", Ward!$AI$2:$AJ$17, IF(J4="Huyện Hóc Môn", Ward!$AK$2:$AL$13, IF(J4="Huyện Nhà Bè", Ward!$AM$2:$AN$8, IF(J4="Quận Phú Nhuận", Ward!$AO$2:$AP$16, IF(J4="Quận Tân Bình", Ward!$AQ$2:$AR$16, IF(J4="Quận Tân Phú", Ward!$AS$2:$AT$12, IF(J4="Quận Thủ Đức", Ward!$AU$2:$AV$13)))))))))))))))))))))))), 2, FALSE), "")</f>
        <v>27088</v>
      </c>
      <c r="Y4" s="20">
        <f>IF(B4 &lt;&gt; "", VLOOKUP(B4, HospitalType!$A$2:$B$9, 2, FALSE), "")</f>
        <v>3</v>
      </c>
    </row>
    <row r="5" spans="1:25" ht="90" x14ac:dyDescent="0.25">
      <c r="A5" s="34" t="s">
        <v>555</v>
      </c>
      <c r="B5" s="24" t="s">
        <v>311</v>
      </c>
      <c r="C5" s="24" t="s">
        <v>556</v>
      </c>
      <c r="D5" s="24" t="s">
        <v>556</v>
      </c>
      <c r="E5" s="24" t="b">
        <v>0</v>
      </c>
      <c r="F5" s="24"/>
      <c r="G5" s="25" t="s">
        <v>557</v>
      </c>
      <c r="H5" s="25" t="s">
        <v>558</v>
      </c>
      <c r="I5" s="25" t="s">
        <v>12</v>
      </c>
      <c r="J5" s="25" t="s">
        <v>341</v>
      </c>
      <c r="K5" s="25" t="s">
        <v>373</v>
      </c>
      <c r="L5" s="25" t="s">
        <v>559</v>
      </c>
      <c r="M5" s="25" t="s">
        <v>560</v>
      </c>
      <c r="N5" s="25"/>
      <c r="O5" s="25"/>
      <c r="P5" s="25" t="s">
        <v>563</v>
      </c>
      <c r="Q5" s="24" t="s">
        <v>561</v>
      </c>
      <c r="R5" s="26" t="s">
        <v>569</v>
      </c>
      <c r="S5" s="26" t="s">
        <v>579</v>
      </c>
      <c r="T5" s="26" t="s">
        <v>565</v>
      </c>
      <c r="U5" s="27" t="s">
        <v>566</v>
      </c>
      <c r="V5" s="20">
        <f>IF(I5 &lt;&gt; "", VLOOKUP(I5, City!$A$1:$B$2, 2, FALSE), "" )</f>
        <v>79</v>
      </c>
      <c r="W5" s="20">
        <f>IF(J5 &lt;&gt; "", VLOOKUP(J5, District!$A$1:$B$25, 2, FALSE), "")</f>
        <v>764</v>
      </c>
      <c r="X5" s="21" t="str">
        <f>IF(K5 &lt;&gt; "", VLOOKUP(K5, IF(J5="Quận 1", Ward!$A$2:$B$11, IF(J5="Quận 2", Ward!$C$2:$D$12, IF(J5="Quận 3", Ward!$E$2:$F$15, IF(J5="Quận 4", Ward!$G$2:$H$16, IF(J5="Quận 5", Ward!$I$2:$J$16, IF(J5="Quận 6", Ward!$K$2:$L$15, IF(J5="Quận 7", Ward!$M$2:$N$11, IF(J5="Quận 8", Ward!$O$2:$P$17, IF(J5="Quận 9", Ward!$Q$2:$R$14, IF(J5="Quận 10", Ward!$S$2:$T$16, IF(J5="Quận 11", Ward!$U$2:$V$17, IF(J5="Quận 12", Ward!$W$2:$X$12, IF(J5="Huyện Bình Chánh", Ward!$Y$2:$Z$17, IF(J5="Quận Bình Tân", Ward!$AA$2:$AB$11, IF(J5="Quận Bình Thạnh", Ward!$AC$2:$AD$21, IF(J5="Huyện Cần Giờ", Ward!$AE$2:$AF$8, IF(J5="Huyện Củ Chi", Ward!$AG$2:$AH$22, IF(J5="Quận Gò Vấp", Ward!$AI$2:$AJ$17, IF(J5="Huyện Hóc Môn", Ward!$AK$2:$AL$13, IF(J5="Huyện Nhà Bè", Ward!$AM$2:$AN$8, IF(J5="Quận Phú Nhuận", Ward!$AO$2:$AP$16, IF(J5="Quận Tân Bình", Ward!$AQ$2:$AR$16, IF(J5="Quận Tân Phú", Ward!$AS$2:$AT$12, IF(J5="Quận Thủ Đức", Ward!$AU$2:$AV$13)))))))))))))))))))))))), 2, FALSE), "")</f>
        <v>26890</v>
      </c>
      <c r="Y5" s="20">
        <f>IF(B5 &lt;&gt; "", VLOOKUP(B5, HospitalType!$A$2:$B$9, 2, FALSE), "")</f>
        <v>3</v>
      </c>
    </row>
    <row r="6" spans="1:25" ht="120" x14ac:dyDescent="0.25">
      <c r="A6" s="34" t="s">
        <v>567</v>
      </c>
      <c r="B6" s="24" t="s">
        <v>311</v>
      </c>
      <c r="C6" s="24" t="s">
        <v>575</v>
      </c>
      <c r="D6" s="24" t="s">
        <v>575</v>
      </c>
      <c r="E6" s="24" t="b">
        <v>0</v>
      </c>
      <c r="F6" s="24"/>
      <c r="G6" s="25" t="s">
        <v>570</v>
      </c>
      <c r="H6" s="25" t="s">
        <v>571</v>
      </c>
      <c r="I6" s="25" t="s">
        <v>12</v>
      </c>
      <c r="J6" s="25" t="s">
        <v>336</v>
      </c>
      <c r="K6" s="25" t="s">
        <v>390</v>
      </c>
      <c r="L6" s="25" t="s">
        <v>572</v>
      </c>
      <c r="M6" s="25"/>
      <c r="N6" s="25"/>
      <c r="O6" s="25"/>
      <c r="P6" s="25" t="s">
        <v>573</v>
      </c>
      <c r="Q6" s="24" t="s">
        <v>574</v>
      </c>
      <c r="R6" s="26" t="s">
        <v>576</v>
      </c>
      <c r="S6" s="26" t="s">
        <v>580</v>
      </c>
      <c r="T6" s="26" t="s">
        <v>581</v>
      </c>
      <c r="U6" s="27" t="s">
        <v>582</v>
      </c>
      <c r="V6" s="20">
        <f>IF(I6 &lt;&gt; "", VLOOKUP(I6, City!$A$1:$B$2, 2, FALSE), "" )</f>
        <v>79</v>
      </c>
      <c r="W6" s="20">
        <f>IF(J6 &lt;&gt; "", VLOOKUP(J6, District!$A$1:$B$25, 2, FALSE), "")</f>
        <v>778</v>
      </c>
      <c r="X6" s="21">
        <f>IF(K6 &lt;&gt; "", VLOOKUP(K6, IF(J6="Quận 1", Ward!$A$2:$B$11, IF(J6="Quận 2", Ward!$C$2:$D$12, IF(J6="Quận 3", Ward!$E$2:$F$15, IF(J6="Quận 4", Ward!$G$2:$H$16, IF(J6="Quận 5", Ward!$I$2:$J$16, IF(J6="Quận 6", Ward!$K$2:$L$15, IF(J6="Quận 7", Ward!$M$2:$N$11, IF(J6="Quận 8", Ward!$O$2:$P$17, IF(J6="Quận 9", Ward!$Q$2:$R$14, IF(J6="Quận 10", Ward!$S$2:$T$16, IF(J6="Quận 11", Ward!$U$2:$V$17, IF(J6="Quận 12", Ward!$W$2:$X$12, IF(J6="Huyện Bình Chánh", Ward!$Y$2:$Z$17, IF(J6="Quận Bình Tân", Ward!$AA$2:$AB$11, IF(J6="Quận Bình Thạnh", Ward!$AC$2:$AD$21, IF(J6="Huyện Cần Giờ", Ward!$AE$2:$AF$8, IF(J6="Huyện Củ Chi", Ward!$AG$2:$AH$22, IF(J6="Quận Gò Vấp", Ward!$AI$2:$AJ$17, IF(J6="Huyện Hóc Môn", Ward!$AK$2:$AL$13, IF(J6="Huyện Nhà Bè", Ward!$AM$2:$AN$8, IF(J6="Quận Phú Nhuận", Ward!$AO$2:$AP$16, IF(J6="Quận Tân Bình", Ward!$AQ$2:$AR$16, IF(J6="Quận Tân Phú", Ward!$AS$2:$AT$12, IF(J6="Quận Thủ Đức", Ward!$AU$2:$AV$13)))))))))))))))))))))))), 2, FALSE), "")</f>
        <v>27487</v>
      </c>
      <c r="Y6" s="20">
        <f>IF(B6 &lt;&gt; "", VLOOKUP(B6, HospitalType!$A$2:$B$9, 2, FALSE), "")</f>
        <v>3</v>
      </c>
    </row>
    <row r="7" spans="1:25" ht="90" x14ac:dyDescent="0.25">
      <c r="A7" s="34" t="s">
        <v>583</v>
      </c>
      <c r="B7" s="24" t="s">
        <v>316</v>
      </c>
      <c r="C7" s="24" t="s">
        <v>584</v>
      </c>
      <c r="D7" s="24" t="s">
        <v>585</v>
      </c>
      <c r="E7" s="24" t="b">
        <v>0</v>
      </c>
      <c r="F7" s="24"/>
      <c r="G7" s="25" t="s">
        <v>586</v>
      </c>
      <c r="H7" s="25" t="s">
        <v>587</v>
      </c>
      <c r="I7" s="25" t="s">
        <v>12</v>
      </c>
      <c r="J7" s="25" t="s">
        <v>327</v>
      </c>
      <c r="K7" s="25" t="s">
        <v>346</v>
      </c>
      <c r="L7" s="25" t="s">
        <v>588</v>
      </c>
      <c r="M7" s="25" t="s">
        <v>589</v>
      </c>
      <c r="N7" s="25"/>
      <c r="O7" s="25" t="s">
        <v>937</v>
      </c>
      <c r="P7" s="25" t="s">
        <v>590</v>
      </c>
      <c r="Q7" s="24" t="s">
        <v>591</v>
      </c>
      <c r="R7" s="26" t="s">
        <v>592</v>
      </c>
      <c r="S7" s="26" t="s">
        <v>593</v>
      </c>
      <c r="T7" s="26" t="s">
        <v>594</v>
      </c>
      <c r="U7" s="27" t="s">
        <v>595</v>
      </c>
      <c r="V7" s="20">
        <f>IF(I7 &lt;&gt; "", VLOOKUP(I7, City!$A$1:$B$2, 2, FALSE), "" )</f>
        <v>79</v>
      </c>
      <c r="W7" s="20">
        <f>IF(J7 &lt;&gt; "", VLOOKUP(J7, District!$A$1:$B$25, 2, FALSE), "")</f>
        <v>760</v>
      </c>
      <c r="X7" s="21">
        <f>IF(K7 &lt;&gt; "", VLOOKUP(K7, IF(J7="Quận 1", Ward!$A$2:$B$11, IF(J7="Quận 2", Ward!$C$2:$D$12, IF(J7="Quận 3", Ward!$E$2:$F$15, IF(J7="Quận 4", Ward!$G$2:$H$16, IF(J7="Quận 5", Ward!$I$2:$J$16, IF(J7="Quận 6", Ward!$K$2:$L$15, IF(J7="Quận 7", Ward!$M$2:$N$11, IF(J7="Quận 8", Ward!$O$2:$P$17, IF(J7="Quận 9", Ward!$Q$2:$R$14, IF(J7="Quận 10", Ward!$S$2:$T$16, IF(J7="Quận 11", Ward!$U$2:$V$17, IF(J7="Quận 12", Ward!$W$2:$X$12, IF(J7="Huyện Bình Chánh", Ward!$Y$2:$Z$17, IF(J7="Quận Bình Tân", Ward!$AA$2:$AB$11, IF(J7="Quận Bình Thạnh", Ward!$AC$2:$AD$21, IF(J7="Huyện Cần Giờ", Ward!$AE$2:$AF$8, IF(J7="Huyện Củ Chi", Ward!$AG$2:$AH$22, IF(J7="Quận Gò Vấp", Ward!$AI$2:$AJ$17, IF(J7="Huyện Hóc Môn", Ward!$AK$2:$AL$13, IF(J7="Huyện Nhà Bè", Ward!$AM$2:$AN$8, IF(J7="Quận Phú Nhuận", Ward!$AO$2:$AP$16, IF(J7="Quận Tân Bình", Ward!$AQ$2:$AR$16, IF(J7="Quận Tân Phú", Ward!$AS$2:$AT$12, IF(J7="Quận Thủ Đức", Ward!$AU$2:$AV$13)))))))))))))))))))))))), 2, FALSE), "")</f>
        <v>26740</v>
      </c>
      <c r="Y7" s="20">
        <f>IF(B7 &lt;&gt; "", VLOOKUP(B7, HospitalType!$A$2:$B$9, 2, FALSE), "")</f>
        <v>4</v>
      </c>
    </row>
    <row r="8" spans="1:25" ht="90" x14ac:dyDescent="0.25">
      <c r="A8" s="34" t="s">
        <v>596</v>
      </c>
      <c r="B8" s="24" t="s">
        <v>311</v>
      </c>
      <c r="C8" s="24" t="s">
        <v>584</v>
      </c>
      <c r="D8" s="24" t="s">
        <v>584</v>
      </c>
      <c r="E8" s="24" t="b">
        <v>0</v>
      </c>
      <c r="F8" s="24"/>
      <c r="G8" s="25" t="s">
        <v>597</v>
      </c>
      <c r="H8" s="25" t="s">
        <v>598</v>
      </c>
      <c r="I8" s="25" t="s">
        <v>12</v>
      </c>
      <c r="J8" s="25" t="s">
        <v>340</v>
      </c>
      <c r="K8" s="25" t="s">
        <v>373</v>
      </c>
      <c r="L8" s="25" t="s">
        <v>599</v>
      </c>
      <c r="M8" s="25" t="s">
        <v>600</v>
      </c>
      <c r="N8" s="25"/>
      <c r="O8" s="25"/>
      <c r="P8" s="25" t="s">
        <v>601</v>
      </c>
      <c r="Q8" s="24" t="s">
        <v>591</v>
      </c>
      <c r="R8" s="26" t="s">
        <v>592</v>
      </c>
      <c r="S8" s="26" t="s">
        <v>593</v>
      </c>
      <c r="T8" s="26" t="s">
        <v>594</v>
      </c>
      <c r="U8" s="27" t="s">
        <v>595</v>
      </c>
      <c r="V8" s="20">
        <f>IF(I8 &lt;&gt; "", VLOOKUP(I8, City!$A$1:$B$2, 2, FALSE), "" )</f>
        <v>79</v>
      </c>
      <c r="W8" s="20">
        <f>IF(J8 &lt;&gt; "", VLOOKUP(J8, District!$A$1:$B$25, 2, FALSE), "")</f>
        <v>765</v>
      </c>
      <c r="X8" s="21" t="str">
        <f>IF(K8 &lt;&gt; "", VLOOKUP(K8, IF(J8="Quận 1", Ward!$A$2:$B$11, IF(J8="Quận 2", Ward!$C$2:$D$12, IF(J8="Quận 3", Ward!$E$2:$F$15, IF(J8="Quận 4", Ward!$G$2:$H$16, IF(J8="Quận 5", Ward!$I$2:$J$16, IF(J8="Quận 6", Ward!$K$2:$L$15, IF(J8="Quận 7", Ward!$M$2:$N$11, IF(J8="Quận 8", Ward!$O$2:$P$17, IF(J8="Quận 9", Ward!$Q$2:$R$14, IF(J8="Quận 10", Ward!$S$2:$T$16, IF(J8="Quận 11", Ward!$U$2:$V$17, IF(J8="Quận 12", Ward!$W$2:$X$12, IF(J8="Huyện Bình Chánh", Ward!$Y$2:$Z$17, IF(J8="Quận Bình Tân", Ward!$AA$2:$AB$11, IF(J8="Quận Bình Thạnh", Ward!$AC$2:$AD$21, IF(J8="Huyện Cần Giờ", Ward!$AE$2:$AF$8, IF(J8="Huyện Củ Chi", Ward!$AG$2:$AH$22, IF(J8="Quận Gò Vấp", Ward!$AI$2:$AJ$17, IF(J8="Huyện Hóc Môn", Ward!$AK$2:$AL$13, IF(J8="Huyện Nhà Bè", Ward!$AM$2:$AN$8, IF(J8="Quận Phú Nhuận", Ward!$AO$2:$AP$16, IF(J8="Quận Tân Bình", Ward!$AQ$2:$AR$16, IF(J8="Quận Tân Phú", Ward!$AS$2:$AT$12, IF(J8="Quận Thủ Đức", Ward!$AU$2:$AV$13)))))))))))))))))))))))), 2, FALSE), "")</f>
        <v>26926</v>
      </c>
      <c r="Y8" s="20">
        <f>IF(B8 &lt;&gt; "", VLOOKUP(B8, HospitalType!$A$2:$B$9, 2, FALSE), "")</f>
        <v>3</v>
      </c>
    </row>
    <row r="9" spans="1:25" ht="120" x14ac:dyDescent="0.25">
      <c r="A9" s="34" t="s">
        <v>602</v>
      </c>
      <c r="B9" s="24" t="s">
        <v>311</v>
      </c>
      <c r="C9" s="24" t="s">
        <v>603</v>
      </c>
      <c r="D9" s="24" t="s">
        <v>603</v>
      </c>
      <c r="E9" s="24" t="b">
        <v>0</v>
      </c>
      <c r="F9" s="24"/>
      <c r="G9" s="25" t="s">
        <v>597</v>
      </c>
      <c r="H9" s="25" t="s">
        <v>604</v>
      </c>
      <c r="I9" s="25" t="s">
        <v>12</v>
      </c>
      <c r="J9" s="25" t="s">
        <v>327</v>
      </c>
      <c r="K9" s="25" t="s">
        <v>347</v>
      </c>
      <c r="L9" s="25" t="s">
        <v>605</v>
      </c>
      <c r="M9" s="25" t="s">
        <v>606</v>
      </c>
      <c r="N9" s="25"/>
      <c r="O9" s="25" t="s">
        <v>938</v>
      </c>
      <c r="P9" s="25" t="s">
        <v>607</v>
      </c>
      <c r="Q9" s="24" t="s">
        <v>608</v>
      </c>
      <c r="R9" s="26" t="s">
        <v>609</v>
      </c>
      <c r="S9" s="26" t="s">
        <v>610</v>
      </c>
      <c r="T9" s="26" t="s">
        <v>611</v>
      </c>
      <c r="U9" s="27" t="s">
        <v>612</v>
      </c>
      <c r="V9" s="20">
        <f>IF(I9 &lt;&gt; "", VLOOKUP(I9, City!$A$1:$B$2, 2, FALSE), "" )</f>
        <v>79</v>
      </c>
      <c r="W9" s="20">
        <f>IF(J9 &lt;&gt; "", VLOOKUP(J9, District!$A$1:$B$25, 2, FALSE), "")</f>
        <v>760</v>
      </c>
      <c r="X9" s="21">
        <f>IF(K9 &lt;&gt; "", VLOOKUP(K9, IF(J9="Quận 1", Ward!$A$2:$B$11, IF(J9="Quận 2", Ward!$C$2:$D$12, IF(J9="Quận 3", Ward!$E$2:$F$15, IF(J9="Quận 4", Ward!$G$2:$H$16, IF(J9="Quận 5", Ward!$I$2:$J$16, IF(J9="Quận 6", Ward!$K$2:$L$15, IF(J9="Quận 7", Ward!$M$2:$N$11, IF(J9="Quận 8", Ward!$O$2:$P$17, IF(J9="Quận 9", Ward!$Q$2:$R$14, IF(J9="Quận 10", Ward!$S$2:$T$16, IF(J9="Quận 11", Ward!$U$2:$V$17, IF(J9="Quận 12", Ward!$W$2:$X$12, IF(J9="Huyện Bình Chánh", Ward!$Y$2:$Z$17, IF(J9="Quận Bình Tân", Ward!$AA$2:$AB$11, IF(J9="Quận Bình Thạnh", Ward!$AC$2:$AD$21, IF(J9="Huyện Cần Giờ", Ward!$AE$2:$AF$8, IF(J9="Huyện Củ Chi", Ward!$AG$2:$AH$22, IF(J9="Quận Gò Vấp", Ward!$AI$2:$AJ$17, IF(J9="Huyện Hóc Môn", Ward!$AK$2:$AL$13, IF(J9="Huyện Nhà Bè", Ward!$AM$2:$AN$8, IF(J9="Quận Phú Nhuận", Ward!$AO$2:$AP$16, IF(J9="Quận Tân Bình", Ward!$AQ$2:$AR$16, IF(J9="Quận Tân Phú", Ward!$AS$2:$AT$12, IF(J9="Quận Thủ Đức", Ward!$AU$2:$AV$13)))))))))))))))))))))))), 2, FALSE), "")</f>
        <v>26743</v>
      </c>
      <c r="Y9" s="20">
        <f>IF(B9 &lt;&gt; "", VLOOKUP(B9, HospitalType!$A$2:$B$9, 2, FALSE), "")</f>
        <v>3</v>
      </c>
    </row>
    <row r="10" spans="1:25" ht="75" x14ac:dyDescent="0.25">
      <c r="A10" s="34" t="s">
        <v>628</v>
      </c>
      <c r="B10" s="24" t="s">
        <v>316</v>
      </c>
      <c r="C10" s="33" t="s">
        <v>613</v>
      </c>
      <c r="D10" s="33" t="s">
        <v>614</v>
      </c>
      <c r="E10" s="24" t="b">
        <v>0</v>
      </c>
      <c r="F10" s="24"/>
      <c r="G10" s="25" t="s">
        <v>615</v>
      </c>
      <c r="H10" s="25" t="s">
        <v>616</v>
      </c>
      <c r="I10" s="25" t="s">
        <v>12</v>
      </c>
      <c r="J10" s="25" t="s">
        <v>327</v>
      </c>
      <c r="K10" s="25" t="s">
        <v>351</v>
      </c>
      <c r="L10" s="25" t="s">
        <v>617</v>
      </c>
      <c r="M10" s="25" t="s">
        <v>618</v>
      </c>
      <c r="N10" s="25"/>
      <c r="O10" s="25" t="s">
        <v>618</v>
      </c>
      <c r="P10" s="25"/>
      <c r="Q10" s="24" t="s">
        <v>619</v>
      </c>
      <c r="R10" s="26" t="s">
        <v>620</v>
      </c>
      <c r="S10" s="26" t="s">
        <v>621</v>
      </c>
      <c r="T10" s="26" t="s">
        <v>622</v>
      </c>
      <c r="U10" s="27" t="s">
        <v>623</v>
      </c>
      <c r="V10" s="20">
        <f>IF(I10 &lt;&gt; "", VLOOKUP(I10, City!$A$1:$B$2, 2, FALSE), "" )</f>
        <v>79</v>
      </c>
      <c r="W10" s="20">
        <f>IF(J10 &lt;&gt; "", VLOOKUP(J10, District!$A$1:$B$25, 2, FALSE), "")</f>
        <v>760</v>
      </c>
      <c r="X10" s="21">
        <f>IF(K10 &lt;&gt; "", VLOOKUP(K10, IF(J10="Quận 1", Ward!$A$2:$B$11, IF(J10="Quận 2", Ward!$C$2:$D$12, IF(J10="Quận 3", Ward!$E$2:$F$15, IF(J10="Quận 4", Ward!$G$2:$H$16, IF(J10="Quận 5", Ward!$I$2:$J$16, IF(J10="Quận 6", Ward!$K$2:$L$15, IF(J10="Quận 7", Ward!$M$2:$N$11, IF(J10="Quận 8", Ward!$O$2:$P$17, IF(J10="Quận 9", Ward!$Q$2:$R$14, IF(J10="Quận 10", Ward!$S$2:$T$16, IF(J10="Quận 11", Ward!$U$2:$V$17, IF(J10="Quận 12", Ward!$W$2:$X$12, IF(J10="Huyện Bình Chánh", Ward!$Y$2:$Z$17, IF(J10="Quận Bình Tân", Ward!$AA$2:$AB$11, IF(J10="Quận Bình Thạnh", Ward!$AC$2:$AD$21, IF(J10="Huyện Cần Giờ", Ward!$AE$2:$AF$8, IF(J10="Huyện Củ Chi", Ward!$AG$2:$AH$22, IF(J10="Quận Gò Vấp", Ward!$AI$2:$AJ$17, IF(J10="Huyện Hóc Môn", Ward!$AK$2:$AL$13, IF(J10="Huyện Nhà Bè", Ward!$AM$2:$AN$8, IF(J10="Quận Phú Nhuận", Ward!$AO$2:$AP$16, IF(J10="Quận Tân Bình", Ward!$AQ$2:$AR$16, IF(J10="Quận Tân Phú", Ward!$AS$2:$AT$12, IF(J10="Quận Thủ Đức", Ward!$AU$2:$AV$13)))))))))))))))))))))))), 2, FALSE), "")</f>
        <v>26737</v>
      </c>
      <c r="Y10" s="20">
        <f>IF(B10 &lt;&gt; "", VLOOKUP(B10, HospitalType!$A$2:$B$9, 2, FALSE), "")</f>
        <v>4</v>
      </c>
    </row>
    <row r="11" spans="1:25" ht="75" x14ac:dyDescent="0.25">
      <c r="A11" s="34" t="s">
        <v>629</v>
      </c>
      <c r="B11" s="24" t="s">
        <v>316</v>
      </c>
      <c r="C11" s="33" t="s">
        <v>613</v>
      </c>
      <c r="D11" s="33" t="s">
        <v>614</v>
      </c>
      <c r="E11" s="24" t="b">
        <v>0</v>
      </c>
      <c r="F11" s="24"/>
      <c r="G11" s="25" t="s">
        <v>624</v>
      </c>
      <c r="H11" s="25" t="s">
        <v>625</v>
      </c>
      <c r="I11" s="25" t="s">
        <v>12</v>
      </c>
      <c r="J11" s="25" t="s">
        <v>342</v>
      </c>
      <c r="K11" s="25" t="s">
        <v>378</v>
      </c>
      <c r="L11" s="25" t="s">
        <v>617</v>
      </c>
      <c r="M11" s="25" t="s">
        <v>618</v>
      </c>
      <c r="N11" s="25"/>
      <c r="O11" s="25" t="s">
        <v>618</v>
      </c>
      <c r="P11" s="25"/>
      <c r="Q11" s="24" t="s">
        <v>619</v>
      </c>
      <c r="R11" s="26" t="s">
        <v>620</v>
      </c>
      <c r="S11" s="26" t="s">
        <v>621</v>
      </c>
      <c r="T11" s="26" t="s">
        <v>622</v>
      </c>
      <c r="U11" s="27" t="s">
        <v>623</v>
      </c>
      <c r="V11" s="20">
        <f>IF(I11 &lt;&gt; "", VLOOKUP(I11, City!$A$1:$B$2, 2, FALSE), "" )</f>
        <v>79</v>
      </c>
      <c r="W11" s="20">
        <f>IF(J11 &lt;&gt; "", VLOOKUP(J11, District!$A$1:$B$25, 2, FALSE), "")</f>
        <v>768</v>
      </c>
      <c r="X11" s="21" t="str">
        <f>IF(K11 &lt;&gt; "", VLOOKUP(K11, IF(J11="Quận 1", Ward!$A$2:$B$11, IF(J11="Quận 2", Ward!$C$2:$D$12, IF(J11="Quận 3", Ward!$E$2:$F$15, IF(J11="Quận 4", Ward!$G$2:$H$16, IF(J11="Quận 5", Ward!$I$2:$J$16, IF(J11="Quận 6", Ward!$K$2:$L$15, IF(J11="Quận 7", Ward!$M$2:$N$11, IF(J11="Quận 8", Ward!$O$2:$P$17, IF(J11="Quận 9", Ward!$Q$2:$R$14, IF(J11="Quận 10", Ward!$S$2:$T$16, IF(J11="Quận 11", Ward!$U$2:$V$17, IF(J11="Quận 12", Ward!$W$2:$X$12, IF(J11="Huyện Bình Chánh", Ward!$Y$2:$Z$17, IF(J11="Quận Bình Tân", Ward!$AA$2:$AB$11, IF(J11="Quận Bình Thạnh", Ward!$AC$2:$AD$21, IF(J11="Huyện Cần Giờ", Ward!$AE$2:$AF$8, IF(J11="Huyện Củ Chi", Ward!$AG$2:$AH$22, IF(J11="Quận Gò Vấp", Ward!$AI$2:$AJ$17, IF(J11="Huyện Hóc Môn", Ward!$AK$2:$AL$13, IF(J11="Huyện Nhà Bè", Ward!$AM$2:$AN$8, IF(J11="Quận Phú Nhuận", Ward!$AO$2:$AP$16, IF(J11="Quận Tân Bình", Ward!$AQ$2:$AR$16, IF(J11="Quận Tân Phú", Ward!$AS$2:$AT$12, IF(J11="Quận Thủ Đức", Ward!$AU$2:$AV$13)))))))))))))))))))))))), 2, FALSE), "")</f>
        <v>27082</v>
      </c>
      <c r="Y11" s="20">
        <f>IF(B11 &lt;&gt; "", VLOOKUP(B11, HospitalType!$A$2:$B$9, 2, FALSE), "")</f>
        <v>4</v>
      </c>
    </row>
    <row r="12" spans="1:25" x14ac:dyDescent="0.25">
      <c r="A12" s="34" t="s">
        <v>630</v>
      </c>
      <c r="B12" s="24" t="s">
        <v>311</v>
      </c>
      <c r="C12" s="24" t="s">
        <v>631</v>
      </c>
      <c r="D12" s="24" t="s">
        <v>632</v>
      </c>
      <c r="E12" s="24" t="b">
        <v>0</v>
      </c>
      <c r="F12" s="24"/>
      <c r="G12" s="25" t="s">
        <v>633</v>
      </c>
      <c r="H12" s="25" t="s">
        <v>634</v>
      </c>
      <c r="I12" s="25" t="s">
        <v>12</v>
      </c>
      <c r="J12" s="25" t="s">
        <v>327</v>
      </c>
      <c r="K12" s="25" t="s">
        <v>346</v>
      </c>
      <c r="L12" s="25" t="s">
        <v>635</v>
      </c>
      <c r="M12" s="25" t="s">
        <v>636</v>
      </c>
      <c r="N12" s="25"/>
      <c r="O12" s="25" t="s">
        <v>636</v>
      </c>
      <c r="P12" s="25" t="s">
        <v>637</v>
      </c>
      <c r="Q12" s="24" t="s">
        <v>562</v>
      </c>
      <c r="R12" s="26" t="s">
        <v>638</v>
      </c>
      <c r="S12" s="26" t="s">
        <v>261</v>
      </c>
      <c r="T12" s="26"/>
      <c r="U12" s="27"/>
      <c r="V12" s="20">
        <f>IF(I12 &lt;&gt; "", VLOOKUP(I12, City!$A$1:$B$2, 2, FALSE), "" )</f>
        <v>79</v>
      </c>
      <c r="W12" s="20">
        <f>IF(J12 &lt;&gt; "", VLOOKUP(J12, District!$A$1:$B$25, 2, FALSE), "")</f>
        <v>760</v>
      </c>
      <c r="X12" s="21">
        <f>IF(K12 &lt;&gt; "", VLOOKUP(K12, IF(J12="Quận 1", Ward!$A$2:$B$11, IF(J12="Quận 2", Ward!$C$2:$D$12, IF(J12="Quận 3", Ward!$E$2:$F$15, IF(J12="Quận 4", Ward!$G$2:$H$16, IF(J12="Quận 5", Ward!$I$2:$J$16, IF(J12="Quận 6", Ward!$K$2:$L$15, IF(J12="Quận 7", Ward!$M$2:$N$11, IF(J12="Quận 8", Ward!$O$2:$P$17, IF(J12="Quận 9", Ward!$Q$2:$R$14, IF(J12="Quận 10", Ward!$S$2:$T$16, IF(J12="Quận 11", Ward!$U$2:$V$17, IF(J12="Quận 12", Ward!$W$2:$X$12, IF(J12="Huyện Bình Chánh", Ward!$Y$2:$Z$17, IF(J12="Quận Bình Tân", Ward!$AA$2:$AB$11, IF(J12="Quận Bình Thạnh", Ward!$AC$2:$AD$21, IF(J12="Huyện Cần Giờ", Ward!$AE$2:$AF$8, IF(J12="Huyện Củ Chi", Ward!$AG$2:$AH$22, IF(J12="Quận Gò Vấp", Ward!$AI$2:$AJ$17, IF(J12="Huyện Hóc Môn", Ward!$AK$2:$AL$13, IF(J12="Huyện Nhà Bè", Ward!$AM$2:$AN$8, IF(J12="Quận Phú Nhuận", Ward!$AO$2:$AP$16, IF(J12="Quận Tân Bình", Ward!$AQ$2:$AR$16, IF(J12="Quận Tân Phú", Ward!$AS$2:$AT$12, IF(J12="Quận Thủ Đức", Ward!$AU$2:$AV$13)))))))))))))))))))))))), 2, FALSE), "")</f>
        <v>26740</v>
      </c>
      <c r="Y12" s="20">
        <f>IF(B12 &lt;&gt; "", VLOOKUP(B12, HospitalType!$A$2:$B$9, 2, FALSE), "")</f>
        <v>3</v>
      </c>
    </row>
    <row r="13" spans="1:25" ht="60" x14ac:dyDescent="0.25">
      <c r="A13" s="34" t="s">
        <v>639</v>
      </c>
      <c r="B13" s="24" t="s">
        <v>314</v>
      </c>
      <c r="C13" s="24" t="s">
        <v>640</v>
      </c>
      <c r="D13" s="24" t="s">
        <v>640</v>
      </c>
      <c r="E13" s="24" t="b">
        <v>0</v>
      </c>
      <c r="F13" s="24"/>
      <c r="G13" s="25" t="s">
        <v>641</v>
      </c>
      <c r="H13" s="25" t="s">
        <v>642</v>
      </c>
      <c r="I13" s="25" t="s">
        <v>12</v>
      </c>
      <c r="J13" s="25" t="s">
        <v>334</v>
      </c>
      <c r="K13" s="25" t="s">
        <v>373</v>
      </c>
      <c r="L13" s="25" t="s">
        <v>643</v>
      </c>
      <c r="M13" s="25" t="s">
        <v>644</v>
      </c>
      <c r="N13" s="25"/>
      <c r="O13" s="25"/>
      <c r="P13" s="25" t="s">
        <v>645</v>
      </c>
      <c r="Q13" s="24" t="s">
        <v>646</v>
      </c>
      <c r="R13" s="26" t="s">
        <v>647</v>
      </c>
      <c r="S13" s="26" t="s">
        <v>648</v>
      </c>
      <c r="T13" s="26" t="s">
        <v>649</v>
      </c>
      <c r="U13" s="27" t="s">
        <v>650</v>
      </c>
      <c r="V13" s="20">
        <f>IF(I13 &lt;&gt; "", VLOOKUP(I13, City!$A$1:$B$2, 2, FALSE), "" )</f>
        <v>79</v>
      </c>
      <c r="W13" s="20">
        <f>IF(J13 &lt;&gt; "", VLOOKUP(J13, District!$A$1:$B$25, 2, FALSE), "")</f>
        <v>774</v>
      </c>
      <c r="X13" s="21" t="str">
        <f>IF(K13 &lt;&gt; "", VLOOKUP(K13, IF(J13="Quận 1", Ward!$A$2:$B$11, IF(J13="Quận 2", Ward!$C$2:$D$12, IF(J13="Quận 3", Ward!$E$2:$F$15, IF(J13="Quận 4", Ward!$G$2:$H$16, IF(J13="Quận 5", Ward!$I$2:$J$16, IF(J13="Quận 6", Ward!$K$2:$L$15, IF(J13="Quận 7", Ward!$M$2:$N$11, IF(J13="Quận 8", Ward!$O$2:$P$17, IF(J13="Quận 9", Ward!$Q$2:$R$14, IF(J13="Quận 10", Ward!$S$2:$T$16, IF(J13="Quận 11", Ward!$U$2:$V$17, IF(J13="Quận 12", Ward!$W$2:$X$12, IF(J13="Huyện Bình Chánh", Ward!$Y$2:$Z$17, IF(J13="Quận Bình Tân", Ward!$AA$2:$AB$11, IF(J13="Quận Bình Thạnh", Ward!$AC$2:$AD$21, IF(J13="Huyện Cần Giờ", Ward!$AE$2:$AF$8, IF(J13="Huyện Củ Chi", Ward!$AG$2:$AH$22, IF(J13="Quận Gò Vấp", Ward!$AI$2:$AJ$17, IF(J13="Huyện Hóc Môn", Ward!$AK$2:$AL$13, IF(J13="Huyện Nhà Bè", Ward!$AM$2:$AN$8, IF(J13="Quận Phú Nhuận", Ward!$AO$2:$AP$16, IF(J13="Quận Tân Bình", Ward!$AQ$2:$AR$16, IF(J13="Quận Tân Phú", Ward!$AS$2:$AT$12, IF(J13="Quận Thủ Đức", Ward!$AU$2:$AV$13)))))))))))))))))))))))), 2, FALSE), "")</f>
        <v>27322</v>
      </c>
      <c r="Y13" s="20">
        <f>IF(B13 &lt;&gt; "", VLOOKUP(B13, HospitalType!$A$2:$B$9, 2, FALSE), "")</f>
        <v>2</v>
      </c>
    </row>
    <row r="14" spans="1:25" ht="150" x14ac:dyDescent="0.25">
      <c r="A14" s="34" t="s">
        <v>651</v>
      </c>
      <c r="B14" s="24" t="s">
        <v>310</v>
      </c>
      <c r="C14" s="24" t="s">
        <v>653</v>
      </c>
      <c r="D14" s="24" t="s">
        <v>653</v>
      </c>
      <c r="E14" s="24" t="b">
        <v>0</v>
      </c>
      <c r="F14" s="24"/>
      <c r="G14" s="25" t="s">
        <v>654</v>
      </c>
      <c r="H14" s="25" t="s">
        <v>655</v>
      </c>
      <c r="I14" s="25" t="s">
        <v>12</v>
      </c>
      <c r="J14" s="25" t="s">
        <v>334</v>
      </c>
      <c r="K14" s="25" t="s">
        <v>378</v>
      </c>
      <c r="L14" s="25" t="s">
        <v>656</v>
      </c>
      <c r="M14" s="25" t="s">
        <v>657</v>
      </c>
      <c r="N14" s="25"/>
      <c r="O14" s="25" t="s">
        <v>657</v>
      </c>
      <c r="P14" s="25" t="s">
        <v>658</v>
      </c>
      <c r="Q14" s="24" t="s">
        <v>659</v>
      </c>
      <c r="R14" s="26" t="s">
        <v>660</v>
      </c>
      <c r="S14" s="26" t="s">
        <v>670</v>
      </c>
      <c r="T14" s="26" t="s">
        <v>661</v>
      </c>
      <c r="U14" s="27" t="s">
        <v>662</v>
      </c>
      <c r="V14" s="20">
        <f>IF(I14 &lt;&gt; "", VLOOKUP(I14, City!$A$1:$B$2, 2, FALSE), "" )</f>
        <v>79</v>
      </c>
      <c r="W14" s="20">
        <f>IF(J14 &lt;&gt; "", VLOOKUP(J14, District!$A$1:$B$25, 2, FALSE), "")</f>
        <v>774</v>
      </c>
      <c r="X14" s="21" t="str">
        <f>IF(K14 &lt;&gt; "", VLOOKUP(K14, IF(J14="Quận 1", Ward!$A$2:$B$11, IF(J14="Quận 2", Ward!$C$2:$D$12, IF(J14="Quận 3", Ward!$E$2:$F$15, IF(J14="Quận 4", Ward!$G$2:$H$16, IF(J14="Quận 5", Ward!$I$2:$J$16, IF(J14="Quận 6", Ward!$K$2:$L$15, IF(J14="Quận 7", Ward!$M$2:$N$11, IF(J14="Quận 8", Ward!$O$2:$P$17, IF(J14="Quận 9", Ward!$Q$2:$R$14, IF(J14="Quận 10", Ward!$S$2:$T$16, IF(J14="Quận 11", Ward!$U$2:$V$17, IF(J14="Quận 12", Ward!$W$2:$X$12, IF(J14="Huyện Bình Chánh", Ward!$Y$2:$Z$17, IF(J14="Quận Bình Tân", Ward!$AA$2:$AB$11, IF(J14="Quận Bình Thạnh", Ward!$AC$2:$AD$21, IF(J14="Huyện Cần Giờ", Ward!$AE$2:$AF$8, IF(J14="Huyện Củ Chi", Ward!$AG$2:$AH$22, IF(J14="Quận Gò Vấp", Ward!$AI$2:$AJ$17, IF(J14="Huyện Hóc Môn", Ward!$AK$2:$AL$13, IF(J14="Huyện Nhà Bè", Ward!$AM$2:$AN$8, IF(J14="Quận Phú Nhuận", Ward!$AO$2:$AP$16, IF(J14="Quận Tân Bình", Ward!$AQ$2:$AR$16, IF(J14="Quận Tân Phú", Ward!$AS$2:$AT$12, IF(J14="Quận Thủ Đức", Ward!$AU$2:$AV$13)))))))))))))))))))))))), 2, FALSE), "")</f>
        <v>27310</v>
      </c>
      <c r="Y14" s="20">
        <f>IF(B14 &lt;&gt; "", VLOOKUP(B14, HospitalType!$A$2:$B$9, 2, FALSE), "")</f>
        <v>1</v>
      </c>
    </row>
    <row r="15" spans="1:25" ht="90" x14ac:dyDescent="0.25">
      <c r="A15" s="34" t="s">
        <v>663</v>
      </c>
      <c r="B15" s="24" t="s">
        <v>310</v>
      </c>
      <c r="C15" s="24" t="s">
        <v>664</v>
      </c>
      <c r="D15" s="24" t="s">
        <v>664</v>
      </c>
      <c r="E15" s="24" t="b">
        <v>0</v>
      </c>
      <c r="F15" s="24"/>
      <c r="G15" s="25" t="s">
        <v>665</v>
      </c>
      <c r="H15" s="25" t="s">
        <v>666</v>
      </c>
      <c r="I15" s="25" t="s">
        <v>12</v>
      </c>
      <c r="J15" s="25" t="s">
        <v>327</v>
      </c>
      <c r="K15" s="25" t="s">
        <v>347</v>
      </c>
      <c r="L15" s="25" t="s">
        <v>668</v>
      </c>
      <c r="M15" s="25" t="s">
        <v>667</v>
      </c>
      <c r="N15" s="25"/>
      <c r="O15" s="25"/>
      <c r="P15" s="25" t="s">
        <v>669</v>
      </c>
      <c r="Q15" s="24"/>
      <c r="R15" s="26" t="s">
        <v>676</v>
      </c>
      <c r="S15" s="26" t="s">
        <v>671</v>
      </c>
      <c r="T15" s="26" t="s">
        <v>679</v>
      </c>
      <c r="U15" s="27" t="s">
        <v>687</v>
      </c>
      <c r="V15" s="20">
        <f>IF(I15 &lt;&gt; "", VLOOKUP(I15, City!$A$1:$B$2, 2, FALSE), "" )</f>
        <v>79</v>
      </c>
      <c r="W15" s="20">
        <f>IF(J15 &lt;&gt; "", VLOOKUP(J15, District!$A$1:$B$25, 2, FALSE), "")</f>
        <v>760</v>
      </c>
      <c r="X15" s="21">
        <f>IF(K15 &lt;&gt; "", VLOOKUP(K15, IF(J15="Quận 1", Ward!$A$2:$B$11, IF(J15="Quận 2", Ward!$C$2:$D$12, IF(J15="Quận 3", Ward!$E$2:$F$15, IF(J15="Quận 4", Ward!$G$2:$H$16, IF(J15="Quận 5", Ward!$I$2:$J$16, IF(J15="Quận 6", Ward!$K$2:$L$15, IF(J15="Quận 7", Ward!$M$2:$N$11, IF(J15="Quận 8", Ward!$O$2:$P$17, IF(J15="Quận 9", Ward!$Q$2:$R$14, IF(J15="Quận 10", Ward!$S$2:$T$16, IF(J15="Quận 11", Ward!$U$2:$V$17, IF(J15="Quận 12", Ward!$W$2:$X$12, IF(J15="Huyện Bình Chánh", Ward!$Y$2:$Z$17, IF(J15="Quận Bình Tân", Ward!$AA$2:$AB$11, IF(J15="Quận Bình Thạnh", Ward!$AC$2:$AD$21, IF(J15="Huyện Cần Giờ", Ward!$AE$2:$AF$8, IF(J15="Huyện Củ Chi", Ward!$AG$2:$AH$22, IF(J15="Quận Gò Vấp", Ward!$AI$2:$AJ$17, IF(J15="Huyện Hóc Môn", Ward!$AK$2:$AL$13, IF(J15="Huyện Nhà Bè", Ward!$AM$2:$AN$8, IF(J15="Quận Phú Nhuận", Ward!$AO$2:$AP$16, IF(J15="Quận Tân Bình", Ward!$AQ$2:$AR$16, IF(J15="Quận Tân Phú", Ward!$AS$2:$AT$12, IF(J15="Quận Thủ Đức", Ward!$AU$2:$AV$13)))))))))))))))))))))))), 2, FALSE), "")</f>
        <v>26743</v>
      </c>
      <c r="Y15" s="20">
        <f>IF(B15 &lt;&gt; "", VLOOKUP(B15, HospitalType!$A$2:$B$9, 2, FALSE), "")</f>
        <v>1</v>
      </c>
    </row>
    <row r="16" spans="1:25" ht="75" x14ac:dyDescent="0.25">
      <c r="A16" s="34" t="s">
        <v>672</v>
      </c>
      <c r="B16" s="24" t="s">
        <v>310</v>
      </c>
      <c r="C16" s="24" t="s">
        <v>553</v>
      </c>
      <c r="D16" s="24" t="s">
        <v>553</v>
      </c>
      <c r="E16" s="24" t="b">
        <v>0</v>
      </c>
      <c r="F16" s="24"/>
      <c r="G16" s="25" t="s">
        <v>673</v>
      </c>
      <c r="H16" s="25" t="s">
        <v>674</v>
      </c>
      <c r="I16" s="25" t="s">
        <v>12</v>
      </c>
      <c r="J16" s="25" t="s">
        <v>334</v>
      </c>
      <c r="K16" s="25" t="s">
        <v>373</v>
      </c>
      <c r="L16" s="25" t="s">
        <v>675</v>
      </c>
      <c r="M16" s="25"/>
      <c r="N16" s="25"/>
      <c r="O16" s="25"/>
      <c r="P16" s="25"/>
      <c r="Q16" s="24"/>
      <c r="R16" s="26" t="s">
        <v>677</v>
      </c>
      <c r="S16" s="26" t="s">
        <v>678</v>
      </c>
      <c r="T16" s="26" t="s">
        <v>680</v>
      </c>
      <c r="U16" s="27" t="s">
        <v>697</v>
      </c>
      <c r="V16" s="20">
        <f>IF(I16 &lt;&gt; "", VLOOKUP(I16, City!$A$1:$B$2, 2, FALSE), "" )</f>
        <v>79</v>
      </c>
      <c r="W16" s="20">
        <f>IF(J16 &lt;&gt; "", VLOOKUP(J16, District!$A$1:$B$25, 2, FALSE), "")</f>
        <v>774</v>
      </c>
      <c r="X16" s="21" t="str">
        <f>IF(K16 &lt;&gt; "", VLOOKUP(K16, IF(J16="Quận 1", Ward!$A$2:$B$11, IF(J16="Quận 2", Ward!$C$2:$D$12, IF(J16="Quận 3", Ward!$E$2:$F$15, IF(J16="Quận 4", Ward!$G$2:$H$16, IF(J16="Quận 5", Ward!$I$2:$J$16, IF(J16="Quận 6", Ward!$K$2:$L$15, IF(J16="Quận 7", Ward!$M$2:$N$11, IF(J16="Quận 8", Ward!$O$2:$P$17, IF(J16="Quận 9", Ward!$Q$2:$R$14, IF(J16="Quận 10", Ward!$S$2:$T$16, IF(J16="Quận 11", Ward!$U$2:$V$17, IF(J16="Quận 12", Ward!$W$2:$X$12, IF(J16="Huyện Bình Chánh", Ward!$Y$2:$Z$17, IF(J16="Quận Bình Tân", Ward!$AA$2:$AB$11, IF(J16="Quận Bình Thạnh", Ward!$AC$2:$AD$21, IF(J16="Huyện Cần Giờ", Ward!$AE$2:$AF$8, IF(J16="Huyện Củ Chi", Ward!$AG$2:$AH$22, IF(J16="Quận Gò Vấp", Ward!$AI$2:$AJ$17, IF(J16="Huyện Hóc Môn", Ward!$AK$2:$AL$13, IF(J16="Huyện Nhà Bè", Ward!$AM$2:$AN$8, IF(J16="Quận Phú Nhuận", Ward!$AO$2:$AP$16, IF(J16="Quận Tân Bình", Ward!$AQ$2:$AR$16, IF(J16="Quận Tân Phú", Ward!$AS$2:$AT$12, IF(J16="Quận Thủ Đức", Ward!$AU$2:$AV$13)))))))))))))))))))))))), 2, FALSE), "")</f>
        <v>27322</v>
      </c>
      <c r="Y16" s="20">
        <f>IF(B16 &lt;&gt; "", VLOOKUP(B16, HospitalType!$A$2:$B$9, 2, FALSE), "")</f>
        <v>1</v>
      </c>
    </row>
    <row r="17" spans="1:25" ht="90" x14ac:dyDescent="0.25">
      <c r="A17" s="34" t="s">
        <v>681</v>
      </c>
      <c r="B17" s="24" t="s">
        <v>310</v>
      </c>
      <c r="C17" s="33" t="s">
        <v>652</v>
      </c>
      <c r="D17" s="33" t="s">
        <v>652</v>
      </c>
      <c r="E17" s="24" t="b">
        <v>0</v>
      </c>
      <c r="F17" s="24"/>
      <c r="G17" s="25" t="s">
        <v>597</v>
      </c>
      <c r="H17" s="25" t="s">
        <v>682</v>
      </c>
      <c r="I17" s="25" t="s">
        <v>12</v>
      </c>
      <c r="J17" s="25" t="s">
        <v>343</v>
      </c>
      <c r="K17" s="25" t="s">
        <v>373</v>
      </c>
      <c r="L17" s="25" t="s">
        <v>683</v>
      </c>
      <c r="M17" s="25"/>
      <c r="N17" s="25"/>
      <c r="O17" s="25"/>
      <c r="P17" s="25"/>
      <c r="Q17" s="24" t="s">
        <v>684</v>
      </c>
      <c r="R17" s="26" t="s">
        <v>689</v>
      </c>
      <c r="S17" s="26" t="s">
        <v>685</v>
      </c>
      <c r="T17" s="26" t="s">
        <v>686</v>
      </c>
      <c r="U17" s="27" t="s">
        <v>688</v>
      </c>
      <c r="V17" s="20">
        <f>IF(I17 &lt;&gt; "", VLOOKUP(I17, City!$A$1:$B$2, 2, FALSE), "" )</f>
        <v>79</v>
      </c>
      <c r="W17" s="20">
        <f>IF(J17 &lt;&gt; "", VLOOKUP(J17, District!$A$1:$B$25, 2, FALSE), "")</f>
        <v>766</v>
      </c>
      <c r="X17" s="21" t="str">
        <f>IF(K17 &lt;&gt; "", VLOOKUP(K17, IF(J17="Quận 1", Ward!$A$2:$B$11, IF(J17="Quận 2", Ward!$C$2:$D$12, IF(J17="Quận 3", Ward!$E$2:$F$15, IF(J17="Quận 4", Ward!$G$2:$H$16, IF(J17="Quận 5", Ward!$I$2:$J$16, IF(J17="Quận 6", Ward!$K$2:$L$15, IF(J17="Quận 7", Ward!$M$2:$N$11, IF(J17="Quận 8", Ward!$O$2:$P$17, IF(J17="Quận 9", Ward!$Q$2:$R$14, IF(J17="Quận 10", Ward!$S$2:$T$16, IF(J17="Quận 11", Ward!$U$2:$V$17, IF(J17="Quận 12", Ward!$W$2:$X$12, IF(J17="Huyện Bình Chánh", Ward!$Y$2:$Z$17, IF(J17="Quận Bình Tân", Ward!$AA$2:$AB$11, IF(J17="Quận Bình Thạnh", Ward!$AC$2:$AD$21, IF(J17="Huyện Cần Giờ", Ward!$AE$2:$AF$8, IF(J17="Huyện Củ Chi", Ward!$AG$2:$AH$22, IF(J17="Quận Gò Vấp", Ward!$AI$2:$AJ$17, IF(J17="Huyện Hóc Môn", Ward!$AK$2:$AL$13, IF(J17="Huyện Nhà Bè", Ward!$AM$2:$AN$8, IF(J17="Quận Phú Nhuận", Ward!$AO$2:$AP$16, IF(J17="Quận Tân Bình", Ward!$AQ$2:$AR$16, IF(J17="Quận Tân Phú", Ward!$AS$2:$AT$12, IF(J17="Quận Thủ Đức", Ward!$AU$2:$AV$13)))))))))))))))))))))))), 2, FALSE), "")</f>
        <v>26986</v>
      </c>
      <c r="Y17" s="20">
        <f>IF(B17 &lt;&gt; "", VLOOKUP(B17, HospitalType!$A$2:$B$9, 2, FALSE), "")</f>
        <v>1</v>
      </c>
    </row>
    <row r="18" spans="1:25" ht="75" x14ac:dyDescent="0.25">
      <c r="A18" s="34" t="s">
        <v>690</v>
      </c>
      <c r="B18" s="24" t="s">
        <v>310</v>
      </c>
      <c r="C18" s="33" t="s">
        <v>691</v>
      </c>
      <c r="D18" s="33" t="s">
        <v>691</v>
      </c>
      <c r="E18" s="24" t="b">
        <v>0</v>
      </c>
      <c r="F18" s="24"/>
      <c r="G18" s="25" t="s">
        <v>692</v>
      </c>
      <c r="H18" s="25" t="s">
        <v>702</v>
      </c>
      <c r="I18" s="25" t="s">
        <v>12</v>
      </c>
      <c r="J18" s="25" t="s">
        <v>334</v>
      </c>
      <c r="K18" s="25" t="s">
        <v>374</v>
      </c>
      <c r="L18" s="25" t="s">
        <v>693</v>
      </c>
      <c r="M18" s="25"/>
      <c r="N18" s="25"/>
      <c r="O18" s="25" t="s">
        <v>694</v>
      </c>
      <c r="P18" s="25"/>
      <c r="Q18" s="24"/>
      <c r="R18" s="26" t="s">
        <v>695</v>
      </c>
      <c r="S18" s="26" t="s">
        <v>696</v>
      </c>
      <c r="T18" s="26" t="s">
        <v>707</v>
      </c>
      <c r="U18" s="27" t="s">
        <v>698</v>
      </c>
      <c r="V18" s="20">
        <f>IF(I18 &lt;&gt; "", VLOOKUP(I18, City!$A$1:$B$2, 2, FALSE), "" )</f>
        <v>79</v>
      </c>
      <c r="W18" s="20">
        <f>IF(J18 &lt;&gt; "", VLOOKUP(J18, District!$A$1:$B$25, 2, FALSE), "")</f>
        <v>774</v>
      </c>
      <c r="X18" s="21" t="str">
        <f>IF(K18 &lt;&gt; "", VLOOKUP(K18, IF(J18="Quận 1", Ward!$A$2:$B$11, IF(J18="Quận 2", Ward!$C$2:$D$12, IF(J18="Quận 3", Ward!$E$2:$F$15, IF(J18="Quận 4", Ward!$G$2:$H$16, IF(J18="Quận 5", Ward!$I$2:$J$16, IF(J18="Quận 6", Ward!$K$2:$L$15, IF(J18="Quận 7", Ward!$M$2:$N$11, IF(J18="Quận 8", Ward!$O$2:$P$17, IF(J18="Quận 9", Ward!$Q$2:$R$14, IF(J18="Quận 10", Ward!$S$2:$T$16, IF(J18="Quận 11", Ward!$U$2:$V$17, IF(J18="Quận 12", Ward!$W$2:$X$12, IF(J18="Huyện Bình Chánh", Ward!$Y$2:$Z$17, IF(J18="Quận Bình Tân", Ward!$AA$2:$AB$11, IF(J18="Quận Bình Thạnh", Ward!$AC$2:$AD$21, IF(J18="Huyện Cần Giờ", Ward!$AE$2:$AF$8, IF(J18="Huyện Củ Chi", Ward!$AG$2:$AH$22, IF(J18="Quận Gò Vấp", Ward!$AI$2:$AJ$17, IF(J18="Huyện Hóc Môn", Ward!$AK$2:$AL$13, IF(J18="Huyện Nhà Bè", Ward!$AM$2:$AN$8, IF(J18="Quận Phú Nhuận", Ward!$AO$2:$AP$16, IF(J18="Quận Tân Bình", Ward!$AQ$2:$AR$16, IF(J18="Quận Tân Phú", Ward!$AS$2:$AT$12, IF(J18="Quận Thủ Đức", Ward!$AU$2:$AV$13)))))))))))))))))))))))), 2, FALSE), "")</f>
        <v>27316</v>
      </c>
      <c r="Y18" s="20">
        <f>IF(B18 &lt;&gt; "", VLOOKUP(B18, HospitalType!$A$2:$B$9, 2, FALSE), "")</f>
        <v>1</v>
      </c>
    </row>
    <row r="19" spans="1:25" ht="90" x14ac:dyDescent="0.25">
      <c r="A19" s="34" t="s">
        <v>699</v>
      </c>
      <c r="B19" s="24" t="s">
        <v>310</v>
      </c>
      <c r="C19" s="24" t="s">
        <v>700</v>
      </c>
      <c r="D19" s="24" t="s">
        <v>700</v>
      </c>
      <c r="E19" s="24" t="b">
        <v>0</v>
      </c>
      <c r="F19" s="24"/>
      <c r="G19" s="25" t="s">
        <v>701</v>
      </c>
      <c r="H19" s="25" t="s">
        <v>702</v>
      </c>
      <c r="I19" s="25" t="s">
        <v>12</v>
      </c>
      <c r="J19" s="25" t="s">
        <v>334</v>
      </c>
      <c r="K19" s="25" t="s">
        <v>374</v>
      </c>
      <c r="L19" s="25" t="s">
        <v>703</v>
      </c>
      <c r="M19" s="25"/>
      <c r="N19" s="25"/>
      <c r="O19" s="25" t="s">
        <v>704</v>
      </c>
      <c r="P19" s="25"/>
      <c r="Q19" s="24" t="s">
        <v>705</v>
      </c>
      <c r="R19" s="26" t="s">
        <v>990</v>
      </c>
      <c r="S19" s="26" t="s">
        <v>706</v>
      </c>
      <c r="T19" s="26" t="s">
        <v>708</v>
      </c>
      <c r="U19" s="27" t="s">
        <v>709</v>
      </c>
      <c r="V19" s="20">
        <f>IF(I19 &lt;&gt; "", VLOOKUP(I19, City!$A$1:$B$2, 2, FALSE), "" )</f>
        <v>79</v>
      </c>
      <c r="W19" s="20">
        <f>IF(J19 &lt;&gt; "", VLOOKUP(J19, District!$A$1:$B$25, 2, FALSE), "")</f>
        <v>774</v>
      </c>
      <c r="X19" s="21" t="str">
        <f>IF(K19 &lt;&gt; "", VLOOKUP(K19, IF(J19="Quận 1", Ward!$A$2:$B$11, IF(J19="Quận 2", Ward!$C$2:$D$12, IF(J19="Quận 3", Ward!$E$2:$F$15, IF(J19="Quận 4", Ward!$G$2:$H$16, IF(J19="Quận 5", Ward!$I$2:$J$16, IF(J19="Quận 6", Ward!$K$2:$L$15, IF(J19="Quận 7", Ward!$M$2:$N$11, IF(J19="Quận 8", Ward!$O$2:$P$17, IF(J19="Quận 9", Ward!$Q$2:$R$14, IF(J19="Quận 10", Ward!$S$2:$T$16, IF(J19="Quận 11", Ward!$U$2:$V$17, IF(J19="Quận 12", Ward!$W$2:$X$12, IF(J19="Huyện Bình Chánh", Ward!$Y$2:$Z$17, IF(J19="Quận Bình Tân", Ward!$AA$2:$AB$11, IF(J19="Quận Bình Thạnh", Ward!$AC$2:$AD$21, IF(J19="Huyện Cần Giờ", Ward!$AE$2:$AF$8, IF(J19="Huyện Củ Chi", Ward!$AG$2:$AH$22, IF(J19="Quận Gò Vấp", Ward!$AI$2:$AJ$17, IF(J19="Huyện Hóc Môn", Ward!$AK$2:$AL$13, IF(J19="Huyện Nhà Bè", Ward!$AM$2:$AN$8, IF(J19="Quận Phú Nhuận", Ward!$AO$2:$AP$16, IF(J19="Quận Tân Bình", Ward!$AQ$2:$AR$16, IF(J19="Quận Tân Phú", Ward!$AS$2:$AT$12, IF(J19="Quận Thủ Đức", Ward!$AU$2:$AV$13)))))))))))))))))))))))), 2, FALSE), "")</f>
        <v>27316</v>
      </c>
      <c r="Y19" s="20">
        <f>IF(B19 &lt;&gt; "", VLOOKUP(B19, HospitalType!$A$2:$B$9, 2, FALSE), "")</f>
        <v>1</v>
      </c>
    </row>
    <row r="20" spans="1:25" ht="135" x14ac:dyDescent="0.25">
      <c r="A20" s="34" t="s">
        <v>710</v>
      </c>
      <c r="B20" s="24" t="s">
        <v>310</v>
      </c>
      <c r="C20" s="24" t="s">
        <v>945</v>
      </c>
      <c r="D20" s="24" t="s">
        <v>945</v>
      </c>
      <c r="E20" s="24" t="b">
        <v>0</v>
      </c>
      <c r="F20" s="24"/>
      <c r="G20" s="25" t="s">
        <v>597</v>
      </c>
      <c r="H20" s="25" t="s">
        <v>598</v>
      </c>
      <c r="I20" s="25" t="s">
        <v>12</v>
      </c>
      <c r="J20" s="25" t="s">
        <v>340</v>
      </c>
      <c r="K20" s="25" t="s">
        <v>373</v>
      </c>
      <c r="L20" s="25" t="s">
        <v>729</v>
      </c>
      <c r="M20" s="25"/>
      <c r="N20" s="25"/>
      <c r="O20" s="25" t="s">
        <v>730</v>
      </c>
      <c r="P20" s="25"/>
      <c r="Q20" s="24" t="s">
        <v>943</v>
      </c>
      <c r="R20" s="26" t="s">
        <v>944</v>
      </c>
      <c r="S20" s="26" t="s">
        <v>982</v>
      </c>
      <c r="T20" s="26" t="s">
        <v>981</v>
      </c>
      <c r="U20" s="27" t="s">
        <v>986</v>
      </c>
      <c r="V20" s="20">
        <f>IF(I20 &lt;&gt; "", VLOOKUP(I20, City!$A$1:$B$2, 2, FALSE), "" )</f>
        <v>79</v>
      </c>
      <c r="W20" s="20">
        <f>IF(J20 &lt;&gt; "", VLOOKUP(J20, District!$A$1:$B$25, 2, FALSE), "")</f>
        <v>765</v>
      </c>
      <c r="X20" s="21" t="str">
        <f>IF(K20 &lt;&gt; "", VLOOKUP(K20, IF(J20="Quận 1", Ward!$A$2:$B$11, IF(J20="Quận 2", Ward!$C$2:$D$12, IF(J20="Quận 3", Ward!$E$2:$F$15, IF(J20="Quận 4", Ward!$G$2:$H$16, IF(J20="Quận 5", Ward!$I$2:$J$16, IF(J20="Quận 6", Ward!$K$2:$L$15, IF(J20="Quận 7", Ward!$M$2:$N$11, IF(J20="Quận 8", Ward!$O$2:$P$17, IF(J20="Quận 9", Ward!$Q$2:$R$14, IF(J20="Quận 10", Ward!$S$2:$T$16, IF(J20="Quận 11", Ward!$U$2:$V$17, IF(J20="Quận 12", Ward!$W$2:$X$12, IF(J20="Huyện Bình Chánh", Ward!$Y$2:$Z$17, IF(J20="Quận Bình Tân", Ward!$AA$2:$AB$11, IF(J20="Quận Bình Thạnh", Ward!$AC$2:$AD$21, IF(J20="Huyện Cần Giờ", Ward!$AE$2:$AF$8, IF(J20="Huyện Củ Chi", Ward!$AG$2:$AH$22, IF(J20="Quận Gò Vấp", Ward!$AI$2:$AJ$17, IF(J20="Huyện Hóc Môn", Ward!$AK$2:$AL$13, IF(J20="Huyện Nhà Bè", Ward!$AM$2:$AN$8, IF(J20="Quận Phú Nhuận", Ward!$AO$2:$AP$16, IF(J20="Quận Tân Bình", Ward!$AQ$2:$AR$16, IF(J20="Quận Tân Phú", Ward!$AS$2:$AT$12, IF(J20="Quận Thủ Đức", Ward!$AU$2:$AV$13)))))))))))))))))))))))), 2, FALSE), "")</f>
        <v>26926</v>
      </c>
      <c r="Y20" s="20">
        <f>IF(B20 &lt;&gt; "", VLOOKUP(B20, HospitalType!$A$2:$B$9, 2, FALSE), "")</f>
        <v>1</v>
      </c>
    </row>
    <row r="21" spans="1:25" ht="105" x14ac:dyDescent="0.25">
      <c r="A21" s="34" t="s">
        <v>711</v>
      </c>
      <c r="B21" s="24" t="s">
        <v>310</v>
      </c>
      <c r="C21" s="33" t="s">
        <v>652</v>
      </c>
      <c r="D21" s="33" t="s">
        <v>652</v>
      </c>
      <c r="E21" s="24" t="b">
        <v>0</v>
      </c>
      <c r="F21" s="24"/>
      <c r="G21" s="25" t="s">
        <v>712</v>
      </c>
      <c r="H21" s="25" t="s">
        <v>616</v>
      </c>
      <c r="I21" s="25" t="s">
        <v>12</v>
      </c>
      <c r="J21" s="25" t="s">
        <v>332</v>
      </c>
      <c r="K21" s="25" t="s">
        <v>370</v>
      </c>
      <c r="L21" s="25" t="s">
        <v>731</v>
      </c>
      <c r="M21" s="25"/>
      <c r="N21" s="25"/>
      <c r="O21" s="25" t="s">
        <v>732</v>
      </c>
      <c r="P21" s="25"/>
      <c r="Q21" s="24" t="s">
        <v>946</v>
      </c>
      <c r="R21" s="26" t="s">
        <v>991</v>
      </c>
      <c r="S21" s="26" t="s">
        <v>983</v>
      </c>
      <c r="T21" s="26" t="s">
        <v>981</v>
      </c>
      <c r="U21" s="27" t="s">
        <v>987</v>
      </c>
      <c r="V21" s="20">
        <f>IF(I21 &lt;&gt; "", VLOOKUP(I21, City!$A$1:$B$2, 2, FALSE), "" )</f>
        <v>79</v>
      </c>
      <c r="W21" s="20">
        <f>IF(J21 &lt;&gt; "", VLOOKUP(J21, District!$A$1:$B$25, 2, FALSE), "")</f>
        <v>770</v>
      </c>
      <c r="X21" s="21" t="str">
        <f>IF(K21 &lt;&gt; "", VLOOKUP(K21, IF(J21="Quận 1", Ward!$A$2:$B$11, IF(J21="Quận 2", Ward!$C$2:$D$12, IF(J21="Quận 3", Ward!$E$2:$F$15, IF(J21="Quận 4", Ward!$G$2:$H$16, IF(J21="Quận 5", Ward!$I$2:$J$16, IF(J21="Quận 6", Ward!$K$2:$L$15, IF(J21="Quận 7", Ward!$M$2:$N$11, IF(J21="Quận 8", Ward!$O$2:$P$17, IF(J21="Quận 9", Ward!$Q$2:$R$14, IF(J21="Quận 10", Ward!$S$2:$T$16, IF(J21="Quận 11", Ward!$U$2:$V$17, IF(J21="Quận 12", Ward!$W$2:$X$12, IF(J21="Huyện Bình Chánh", Ward!$Y$2:$Z$17, IF(J21="Quận Bình Tân", Ward!$AA$2:$AB$11, IF(J21="Quận Bình Thạnh", Ward!$AC$2:$AD$21, IF(J21="Huyện Cần Giờ", Ward!$AE$2:$AF$8, IF(J21="Huyện Củ Chi", Ward!$AG$2:$AH$22, IF(J21="Quận Gò Vấp", Ward!$AI$2:$AJ$17, IF(J21="Huyện Hóc Môn", Ward!$AK$2:$AL$13, IF(J21="Huyện Nhà Bè", Ward!$AM$2:$AN$8, IF(J21="Quận Phú Nhuận", Ward!$AO$2:$AP$16, IF(J21="Quận Tân Bình", Ward!$AQ$2:$AR$16, IF(J21="Quận Tân Phú", Ward!$AS$2:$AT$12, IF(J21="Quận Thủ Đức", Ward!$AU$2:$AV$13)))))))))))))))))))))))), 2, FALSE), "")</f>
        <v>27148</v>
      </c>
      <c r="Y21" s="20">
        <f>IF(B21 &lt;&gt; "", VLOOKUP(B21, HospitalType!$A$2:$B$9, 2, FALSE), "")</f>
        <v>1</v>
      </c>
    </row>
    <row r="22" spans="1:25" ht="120" x14ac:dyDescent="0.25">
      <c r="A22" s="34" t="s">
        <v>713</v>
      </c>
      <c r="B22" s="24" t="s">
        <v>310</v>
      </c>
      <c r="C22" s="33" t="s">
        <v>948</v>
      </c>
      <c r="D22" s="33" t="s">
        <v>949</v>
      </c>
      <c r="E22" s="24" t="b">
        <v>0</v>
      </c>
      <c r="F22" s="24"/>
      <c r="G22" s="25" t="s">
        <v>714</v>
      </c>
      <c r="H22" s="25" t="s">
        <v>715</v>
      </c>
      <c r="I22" s="25" t="s">
        <v>12</v>
      </c>
      <c r="J22" s="25" t="s">
        <v>328</v>
      </c>
      <c r="K22" s="25" t="s">
        <v>378</v>
      </c>
      <c r="L22" s="25" t="s">
        <v>733</v>
      </c>
      <c r="M22" s="25"/>
      <c r="N22" s="25"/>
      <c r="O22" s="25" t="s">
        <v>734</v>
      </c>
      <c r="P22" s="25"/>
      <c r="Q22" s="38" t="s">
        <v>947</v>
      </c>
      <c r="R22" s="26" t="s">
        <v>950</v>
      </c>
      <c r="S22" s="26" t="s">
        <v>983</v>
      </c>
      <c r="T22" s="26" t="s">
        <v>984</v>
      </c>
      <c r="U22" s="27" t="s">
        <v>988</v>
      </c>
      <c r="V22" s="20">
        <f>IF(I22 &lt;&gt; "", VLOOKUP(I22, City!$A$1:$B$2, 2, FALSE), "" )</f>
        <v>79</v>
      </c>
      <c r="W22" s="20">
        <f>IF(J22 &lt;&gt; "", VLOOKUP(J22, District!$A$1:$B$25, 2, FALSE), "")</f>
        <v>771</v>
      </c>
      <c r="X22" s="21" t="str">
        <f>IF(K22 &lt;&gt; "", VLOOKUP(K22, IF(J22="Quận 1", Ward!$A$2:$B$11, IF(J22="Quận 2", Ward!$C$2:$D$12, IF(J22="Quận 3", Ward!$E$2:$F$15, IF(J22="Quận 4", Ward!$G$2:$H$16, IF(J22="Quận 5", Ward!$I$2:$J$16, IF(J22="Quận 6", Ward!$K$2:$L$15, IF(J22="Quận 7", Ward!$M$2:$N$11, IF(J22="Quận 8", Ward!$O$2:$P$17, IF(J22="Quận 9", Ward!$Q$2:$R$14, IF(J22="Quận 10", Ward!$S$2:$T$16, IF(J22="Quận 11", Ward!$U$2:$V$17, IF(J22="Quận 12", Ward!$W$2:$X$12, IF(J22="Huyện Bình Chánh", Ward!$Y$2:$Z$17, IF(J22="Quận Bình Tân", Ward!$AA$2:$AB$11, IF(J22="Quận Bình Thạnh", Ward!$AC$2:$AD$21, IF(J22="Huyện Cần Giờ", Ward!$AE$2:$AF$8, IF(J22="Huyện Củ Chi", Ward!$AG$2:$AH$22, IF(J22="Quận Gò Vấp", Ward!$AI$2:$AJ$17, IF(J22="Huyện Hóc Môn", Ward!$AK$2:$AL$13, IF(J22="Huyện Nhà Bè", Ward!$AM$2:$AN$8, IF(J22="Quận Phú Nhuận", Ward!$AO$2:$AP$16, IF(J22="Quận Tân Bình", Ward!$AQ$2:$AR$16, IF(J22="Quận Tân Phú", Ward!$AS$2:$AT$12, IF(J22="Quận Thủ Đức", Ward!$AU$2:$AV$13)))))))))))))))))))))))), 2, FALSE), "")</f>
        <v>27172</v>
      </c>
      <c r="Y22" s="20">
        <f>IF(B22 &lt;&gt; "", VLOOKUP(B22, HospitalType!$A$2:$B$9, 2, FALSE), "")</f>
        <v>1</v>
      </c>
    </row>
    <row r="23" spans="1:25" ht="135" x14ac:dyDescent="0.25">
      <c r="A23" s="34" t="s">
        <v>716</v>
      </c>
      <c r="B23" s="24" t="s">
        <v>310</v>
      </c>
      <c r="C23" s="33" t="s">
        <v>948</v>
      </c>
      <c r="D23" s="33" t="s">
        <v>948</v>
      </c>
      <c r="E23" s="24" t="b">
        <v>0</v>
      </c>
      <c r="F23" s="24"/>
      <c r="G23" s="25" t="s">
        <v>717</v>
      </c>
      <c r="H23" s="25" t="s">
        <v>715</v>
      </c>
      <c r="I23" s="25" t="s">
        <v>12</v>
      </c>
      <c r="J23" s="25" t="s">
        <v>334</v>
      </c>
      <c r="K23" s="25" t="s">
        <v>375</v>
      </c>
      <c r="L23" s="25" t="s">
        <v>735</v>
      </c>
      <c r="M23" s="25"/>
      <c r="N23" s="25"/>
      <c r="O23" s="25" t="s">
        <v>736</v>
      </c>
      <c r="P23" s="25"/>
      <c r="Q23" s="38" t="s">
        <v>951</v>
      </c>
      <c r="R23" s="26" t="s">
        <v>992</v>
      </c>
      <c r="S23" s="26" t="s">
        <v>983</v>
      </c>
      <c r="T23" s="26" t="s">
        <v>981</v>
      </c>
      <c r="U23" s="27" t="s">
        <v>989</v>
      </c>
      <c r="V23" s="20">
        <f>IF(I23 &lt;&gt; "", VLOOKUP(I23, City!$A$1:$B$2, 2, FALSE), "" )</f>
        <v>79</v>
      </c>
      <c r="W23" s="20">
        <f>IF(J23 &lt;&gt; "", VLOOKUP(J23, District!$A$1:$B$25, 2, FALSE), "")</f>
        <v>774</v>
      </c>
      <c r="X23" s="21" t="str">
        <f>IF(K23 &lt;&gt; "", VLOOKUP(K23, IF(J23="Quận 1", Ward!$A$2:$B$11, IF(J23="Quận 2", Ward!$C$2:$D$12, IF(J23="Quận 3", Ward!$E$2:$F$15, IF(J23="Quận 4", Ward!$G$2:$H$16, IF(J23="Quận 5", Ward!$I$2:$J$16, IF(J23="Quận 6", Ward!$K$2:$L$15, IF(J23="Quận 7", Ward!$M$2:$N$11, IF(J23="Quận 8", Ward!$O$2:$P$17, IF(J23="Quận 9", Ward!$Q$2:$R$14, IF(J23="Quận 10", Ward!$S$2:$T$16, IF(J23="Quận 11", Ward!$U$2:$V$17, IF(J23="Quận 12", Ward!$W$2:$X$12, IF(J23="Huyện Bình Chánh", Ward!$Y$2:$Z$17, IF(J23="Quận Bình Tân", Ward!$AA$2:$AB$11, IF(J23="Quận Bình Thạnh", Ward!$AC$2:$AD$21, IF(J23="Huyện Cần Giờ", Ward!$AE$2:$AF$8, IF(J23="Huyện Củ Chi", Ward!$AG$2:$AH$22, IF(J23="Quận Gò Vấp", Ward!$AI$2:$AJ$17, IF(J23="Huyện Hóc Môn", Ward!$AK$2:$AL$13, IF(J23="Huyện Nhà Bè", Ward!$AM$2:$AN$8, IF(J23="Quận Phú Nhuận", Ward!$AO$2:$AP$16, IF(J23="Quận Tân Bình", Ward!$AQ$2:$AR$16, IF(J23="Quận Tân Phú", Ward!$AS$2:$AT$12, IF(J23="Quận Thủ Đức", Ward!$AU$2:$AV$13)))))))))))))))))))))))), 2, FALSE), "")</f>
        <v>27304</v>
      </c>
      <c r="Y23" s="20">
        <f>IF(B23 &lt;&gt; "", VLOOKUP(B23, HospitalType!$A$2:$B$9, 2, FALSE), "")</f>
        <v>1</v>
      </c>
    </row>
    <row r="24" spans="1:25" ht="120" x14ac:dyDescent="0.25">
      <c r="A24" s="34" t="s">
        <v>718</v>
      </c>
      <c r="B24" s="24" t="s">
        <v>314</v>
      </c>
      <c r="C24" s="33" t="s">
        <v>955</v>
      </c>
      <c r="D24" s="33" t="s">
        <v>956</v>
      </c>
      <c r="E24" s="24" t="b">
        <v>0</v>
      </c>
      <c r="F24" s="24"/>
      <c r="G24" s="25" t="s">
        <v>719</v>
      </c>
      <c r="H24" s="25" t="s">
        <v>720</v>
      </c>
      <c r="I24" s="25" t="s">
        <v>12</v>
      </c>
      <c r="J24" s="25" t="s">
        <v>339</v>
      </c>
      <c r="K24" s="25" t="s">
        <v>438</v>
      </c>
      <c r="L24" s="25" t="s">
        <v>737</v>
      </c>
      <c r="M24" s="25" t="s">
        <v>738</v>
      </c>
      <c r="N24" s="25"/>
      <c r="O24" s="25" t="s">
        <v>939</v>
      </c>
      <c r="P24" s="39" t="s">
        <v>952</v>
      </c>
      <c r="Q24" s="38" t="s">
        <v>953</v>
      </c>
      <c r="R24" s="26" t="s">
        <v>954</v>
      </c>
      <c r="S24" s="26" t="s">
        <v>985</v>
      </c>
      <c r="T24" s="26" t="s">
        <v>981</v>
      </c>
      <c r="U24" s="27" t="s">
        <v>993</v>
      </c>
      <c r="V24" s="20">
        <f>IF(I24 &lt;&gt; "", VLOOKUP(I24, City!$A$1:$B$2, 2, FALSE), "" )</f>
        <v>79</v>
      </c>
      <c r="W24" s="20">
        <f>IF(J24 &lt;&gt; "", VLOOKUP(J24, District!$A$1:$B$25, 2, FALSE), "")</f>
        <v>777</v>
      </c>
      <c r="X24" s="21">
        <f>IF(K24 &lt;&gt; "", VLOOKUP(K24, IF(J24="Quận 1", Ward!$A$2:$B$11, IF(J24="Quận 2", Ward!$C$2:$D$12, IF(J24="Quận 3", Ward!$E$2:$F$15, IF(J24="Quận 4", Ward!$G$2:$H$16, IF(J24="Quận 5", Ward!$I$2:$J$16, IF(J24="Quận 6", Ward!$K$2:$L$15, IF(J24="Quận 7", Ward!$M$2:$N$11, IF(J24="Quận 8", Ward!$O$2:$P$17, IF(J24="Quận 9", Ward!$Q$2:$R$14, IF(J24="Quận 10", Ward!$S$2:$T$16, IF(J24="Quận 11", Ward!$U$2:$V$17, IF(J24="Quận 12", Ward!$W$2:$X$12, IF(J24="Huyện Bình Chánh", Ward!$Y$2:$Z$17, IF(J24="Quận Bình Tân", Ward!$AA$2:$AB$11, IF(J24="Quận Bình Thạnh", Ward!$AC$2:$AD$21, IF(J24="Huyện Cần Giờ", Ward!$AE$2:$AF$8, IF(J24="Huyện Củ Chi", Ward!$AG$2:$AH$22, IF(J24="Quận Gò Vấp", Ward!$AI$2:$AJ$17, IF(J24="Huyện Hóc Môn", Ward!$AK$2:$AL$13, IF(J24="Huyện Nhà Bè", Ward!$AM$2:$AN$8, IF(J24="Quận Phú Nhuận", Ward!$AO$2:$AP$16, IF(J24="Quận Tân Bình", Ward!$AQ$2:$AR$16, IF(J24="Quận Tân Phú", Ward!$AS$2:$AT$12, IF(J24="Quận Thủ Đức", Ward!$AU$2:$AV$13)))))))))))))))))))))))), 2, FALSE), "")</f>
        <v>27460</v>
      </c>
      <c r="Y24" s="20">
        <f>IF(B24 &lt;&gt; "", VLOOKUP(B24, HospitalType!$A$2:$B$9, 2, FALSE), "")</f>
        <v>2</v>
      </c>
    </row>
    <row r="25" spans="1:25" ht="75" x14ac:dyDescent="0.25">
      <c r="A25" s="34" t="s">
        <v>721</v>
      </c>
      <c r="B25" s="24" t="s">
        <v>310</v>
      </c>
      <c r="C25" s="24" t="s">
        <v>964</v>
      </c>
      <c r="D25" s="24" t="s">
        <v>963</v>
      </c>
      <c r="E25" s="24" t="b">
        <v>0</v>
      </c>
      <c r="F25" s="24"/>
      <c r="G25" s="25" t="s">
        <v>722</v>
      </c>
      <c r="H25" s="25" t="s">
        <v>723</v>
      </c>
      <c r="I25" s="25" t="s">
        <v>12</v>
      </c>
      <c r="J25" s="25" t="s">
        <v>332</v>
      </c>
      <c r="K25" s="25" t="s">
        <v>367</v>
      </c>
      <c r="L25" s="25" t="s">
        <v>739</v>
      </c>
      <c r="M25" s="25"/>
      <c r="N25" s="25"/>
      <c r="O25" s="25" t="s">
        <v>740</v>
      </c>
      <c r="P25" s="25"/>
      <c r="Q25" s="38" t="s">
        <v>959</v>
      </c>
      <c r="R25" s="26" t="s">
        <v>957</v>
      </c>
      <c r="S25" s="26" t="s">
        <v>958</v>
      </c>
      <c r="T25" s="26" t="s">
        <v>981</v>
      </c>
      <c r="U25" s="27" t="s">
        <v>994</v>
      </c>
      <c r="V25" s="20">
        <f>IF(I25 &lt;&gt; "", VLOOKUP(I25, City!$A$1:$B$2, 2, FALSE), "" )</f>
        <v>79</v>
      </c>
      <c r="W25" s="20">
        <f>IF(J25 &lt;&gt; "", VLOOKUP(J25, District!$A$1:$B$25, 2, FALSE), "")</f>
        <v>770</v>
      </c>
      <c r="X25" s="21" t="str">
        <f>IF(K25 &lt;&gt; "", VLOOKUP(K25, IF(J25="Quận 1", Ward!$A$2:$B$11, IF(J25="Quận 2", Ward!$C$2:$D$12, IF(J25="Quận 3", Ward!$E$2:$F$15, IF(J25="Quận 4", Ward!$G$2:$H$16, IF(J25="Quận 5", Ward!$I$2:$J$16, IF(J25="Quận 6", Ward!$K$2:$L$15, IF(J25="Quận 7", Ward!$M$2:$N$11, IF(J25="Quận 8", Ward!$O$2:$P$17, IF(J25="Quận 9", Ward!$Q$2:$R$14, IF(J25="Quận 10", Ward!$S$2:$T$16, IF(J25="Quận 11", Ward!$U$2:$V$17, IF(J25="Quận 12", Ward!$W$2:$X$12, IF(J25="Huyện Bình Chánh", Ward!$Y$2:$Z$17, IF(J25="Quận Bình Tân", Ward!$AA$2:$AB$11, IF(J25="Quận Bình Thạnh", Ward!$AC$2:$AD$21, IF(J25="Huyện Cần Giờ", Ward!$AE$2:$AF$8, IF(J25="Huyện Củ Chi", Ward!$AG$2:$AH$22, IF(J25="Quận Gò Vấp", Ward!$AI$2:$AJ$17, IF(J25="Huyện Hóc Môn", Ward!$AK$2:$AL$13, IF(J25="Huyện Nhà Bè", Ward!$AM$2:$AN$8, IF(J25="Quận Phú Nhuận", Ward!$AO$2:$AP$16, IF(J25="Quận Tân Bình", Ward!$AQ$2:$AR$16, IF(J25="Quận Tân Phú", Ward!$AS$2:$AT$12, IF(J25="Quận Thủ Đức", Ward!$AU$2:$AV$13)))))))))))))))))))))))), 2, FALSE), "")</f>
        <v>27160</v>
      </c>
      <c r="Y25" s="20">
        <f>IF(B25 &lt;&gt; "", VLOOKUP(B25, HospitalType!$A$2:$B$9, 2, FALSE), "")</f>
        <v>1</v>
      </c>
    </row>
    <row r="26" spans="1:25" ht="120" x14ac:dyDescent="0.25">
      <c r="A26" s="34" t="s">
        <v>724</v>
      </c>
      <c r="B26" s="24" t="s">
        <v>310</v>
      </c>
      <c r="C26" s="24" t="s">
        <v>964</v>
      </c>
      <c r="D26" s="24" t="s">
        <v>963</v>
      </c>
      <c r="E26" s="24" t="b">
        <v>0</v>
      </c>
      <c r="F26" s="24"/>
      <c r="G26" s="25" t="s">
        <v>13</v>
      </c>
      <c r="H26" s="25" t="s">
        <v>725</v>
      </c>
      <c r="I26" s="25" t="s">
        <v>12</v>
      </c>
      <c r="J26" s="25" t="s">
        <v>342</v>
      </c>
      <c r="K26" s="25" t="s">
        <v>378</v>
      </c>
      <c r="L26" s="25" t="s">
        <v>741</v>
      </c>
      <c r="M26" s="25"/>
      <c r="N26" s="25"/>
      <c r="O26" s="25" t="s">
        <v>742</v>
      </c>
      <c r="P26" s="25"/>
      <c r="Q26" s="24" t="s">
        <v>960</v>
      </c>
      <c r="R26" s="26" t="s">
        <v>961</v>
      </c>
      <c r="S26" s="26" t="s">
        <v>962</v>
      </c>
      <c r="T26" s="26" t="s">
        <v>981</v>
      </c>
      <c r="U26" s="27" t="s">
        <v>995</v>
      </c>
      <c r="V26" s="20">
        <f>IF(I26 &lt;&gt; "", VLOOKUP(I26, City!$A$1:$B$2, 2, FALSE), "" )</f>
        <v>79</v>
      </c>
      <c r="W26" s="20">
        <f>IF(J26 &lt;&gt; "", VLOOKUP(J26, District!$A$1:$B$25, 2, FALSE), "")</f>
        <v>768</v>
      </c>
      <c r="X26" s="21" t="str">
        <f>IF(K26 &lt;&gt; "", VLOOKUP(K26, IF(J26="Quận 1", Ward!$A$2:$B$11, IF(J26="Quận 2", Ward!$C$2:$D$12, IF(J26="Quận 3", Ward!$E$2:$F$15, IF(J26="Quận 4", Ward!$G$2:$H$16, IF(J26="Quận 5", Ward!$I$2:$J$16, IF(J26="Quận 6", Ward!$K$2:$L$15, IF(J26="Quận 7", Ward!$M$2:$N$11, IF(J26="Quận 8", Ward!$O$2:$P$17, IF(J26="Quận 9", Ward!$Q$2:$R$14, IF(J26="Quận 10", Ward!$S$2:$T$16, IF(J26="Quận 11", Ward!$U$2:$V$17, IF(J26="Quận 12", Ward!$W$2:$X$12, IF(J26="Huyện Bình Chánh", Ward!$Y$2:$Z$17, IF(J26="Quận Bình Tân", Ward!$AA$2:$AB$11, IF(J26="Quận Bình Thạnh", Ward!$AC$2:$AD$21, IF(J26="Huyện Cần Giờ", Ward!$AE$2:$AF$8, IF(J26="Huyện Củ Chi", Ward!$AG$2:$AH$22, IF(J26="Quận Gò Vấp", Ward!$AI$2:$AJ$17, IF(J26="Huyện Hóc Môn", Ward!$AK$2:$AL$13, IF(J26="Huyện Nhà Bè", Ward!$AM$2:$AN$8, IF(J26="Quận Phú Nhuận", Ward!$AO$2:$AP$16, IF(J26="Quận Tân Bình", Ward!$AQ$2:$AR$16, IF(J26="Quận Tân Phú", Ward!$AS$2:$AT$12, IF(J26="Quận Thủ Đức", Ward!$AU$2:$AV$13)))))))))))))))))))))))), 2, FALSE), "")</f>
        <v>27082</v>
      </c>
      <c r="Y26" s="20">
        <f>IF(B26 &lt;&gt; "", VLOOKUP(B26, HospitalType!$A$2:$B$9, 2, FALSE), "")</f>
        <v>1</v>
      </c>
    </row>
    <row r="27" spans="1:25" ht="135" x14ac:dyDescent="0.25">
      <c r="A27" s="34" t="s">
        <v>726</v>
      </c>
      <c r="B27" s="24" t="s">
        <v>310</v>
      </c>
      <c r="C27" s="24" t="s">
        <v>955</v>
      </c>
      <c r="D27" s="24" t="s">
        <v>965</v>
      </c>
      <c r="E27" s="24" t="b">
        <v>0</v>
      </c>
      <c r="F27" s="24"/>
      <c r="G27" s="25" t="s">
        <v>727</v>
      </c>
      <c r="H27" s="25" t="s">
        <v>728</v>
      </c>
      <c r="I27" s="25" t="s">
        <v>12</v>
      </c>
      <c r="J27" s="25" t="s">
        <v>334</v>
      </c>
      <c r="K27" s="25" t="s">
        <v>377</v>
      </c>
      <c r="L27" s="25" t="s">
        <v>743</v>
      </c>
      <c r="M27" s="25"/>
      <c r="N27" s="25"/>
      <c r="O27" s="25" t="s">
        <v>744</v>
      </c>
      <c r="P27" s="39" t="s">
        <v>966</v>
      </c>
      <c r="Q27" s="38" t="s">
        <v>967</v>
      </c>
      <c r="R27" s="26" t="s">
        <v>968</v>
      </c>
      <c r="S27" s="26" t="s">
        <v>969</v>
      </c>
      <c r="T27" s="26" t="s">
        <v>981</v>
      </c>
      <c r="U27" s="27" t="s">
        <v>996</v>
      </c>
      <c r="V27" s="20">
        <f>IF(I27 &lt;&gt; "", VLOOKUP(I27, City!$A$1:$B$2, 2, FALSE), "" )</f>
        <v>79</v>
      </c>
      <c r="W27" s="20">
        <f>IF(J27 &lt;&gt; "", VLOOKUP(J27, District!$A$1:$B$25, 2, FALSE), "")</f>
        <v>774</v>
      </c>
      <c r="X27" s="21" t="str">
        <f>IF(K27 &lt;&gt; "", VLOOKUP(K27, IF(J27="Quận 1", Ward!$A$2:$B$11, IF(J27="Quận 2", Ward!$C$2:$D$12, IF(J27="Quận 3", Ward!$E$2:$F$15, IF(J27="Quận 4", Ward!$G$2:$H$16, IF(J27="Quận 5", Ward!$I$2:$J$16, IF(J27="Quận 6", Ward!$K$2:$L$15, IF(J27="Quận 7", Ward!$M$2:$N$11, IF(J27="Quận 8", Ward!$O$2:$P$17, IF(J27="Quận 9", Ward!$Q$2:$R$14, IF(J27="Quận 10", Ward!$S$2:$T$16, IF(J27="Quận 11", Ward!$U$2:$V$17, IF(J27="Quận 12", Ward!$W$2:$X$12, IF(J27="Huyện Bình Chánh", Ward!$Y$2:$Z$17, IF(J27="Quận Bình Tân", Ward!$AA$2:$AB$11, IF(J27="Quận Bình Thạnh", Ward!$AC$2:$AD$21, IF(J27="Huyện Cần Giờ", Ward!$AE$2:$AF$8, IF(J27="Huyện Củ Chi", Ward!$AG$2:$AH$22, IF(J27="Quận Gò Vấp", Ward!$AI$2:$AJ$17, IF(J27="Huyện Hóc Môn", Ward!$AK$2:$AL$13, IF(J27="Huyện Nhà Bè", Ward!$AM$2:$AN$8, IF(J27="Quận Phú Nhuận", Ward!$AO$2:$AP$16, IF(J27="Quận Tân Bình", Ward!$AQ$2:$AR$16, IF(J27="Quận Tân Phú", Ward!$AS$2:$AT$12, IF(J27="Quận Thủ Đức", Ward!$AU$2:$AV$13)))))))))))))))))))))))), 2, FALSE), "")</f>
        <v>27328</v>
      </c>
      <c r="Y27" s="20">
        <f>IF(B27 &lt;&gt; "", VLOOKUP(B27, HospitalType!$A$2:$B$9, 2, FALSE), "")</f>
        <v>1</v>
      </c>
    </row>
    <row r="28" spans="1:25" ht="165" x14ac:dyDescent="0.25">
      <c r="A28" s="34" t="s">
        <v>745</v>
      </c>
      <c r="B28" s="24" t="s">
        <v>310</v>
      </c>
      <c r="C28" s="24" t="s">
        <v>955</v>
      </c>
      <c r="D28" s="24" t="s">
        <v>949</v>
      </c>
      <c r="E28" s="24" t="b">
        <v>0</v>
      </c>
      <c r="F28" s="24"/>
      <c r="G28" s="25" t="s">
        <v>746</v>
      </c>
      <c r="H28" s="25" t="s">
        <v>747</v>
      </c>
      <c r="I28" s="25" t="s">
        <v>12</v>
      </c>
      <c r="J28" s="25" t="s">
        <v>332</v>
      </c>
      <c r="K28" s="25" t="s">
        <v>372</v>
      </c>
      <c r="L28" s="25" t="s">
        <v>754</v>
      </c>
      <c r="M28" s="25"/>
      <c r="N28" s="25"/>
      <c r="O28" s="25" t="s">
        <v>748</v>
      </c>
      <c r="P28" s="25" t="s">
        <v>749</v>
      </c>
      <c r="Q28" s="24" t="s">
        <v>750</v>
      </c>
      <c r="R28" s="26" t="s">
        <v>970</v>
      </c>
      <c r="S28" s="26" t="s">
        <v>971</v>
      </c>
      <c r="T28" s="26" t="s">
        <v>972</v>
      </c>
      <c r="U28" s="27" t="s">
        <v>997</v>
      </c>
      <c r="V28" s="20">
        <f>IF(I28 &lt;&gt; "", VLOOKUP(I28, City!$A$1:$B$2, 2, FALSE), "" )</f>
        <v>79</v>
      </c>
      <c r="W28" s="20">
        <f>IF(J28 &lt;&gt; "", VLOOKUP(J28, District!$A$1:$B$25, 2, FALSE), "")</f>
        <v>770</v>
      </c>
      <c r="X28" s="21" t="str">
        <f>IF(K28 &lt;&gt; "", VLOOKUP(K28, IF(J28="Quận 1", Ward!$A$2:$B$11, IF(J28="Quận 2", Ward!$C$2:$D$12, IF(J28="Quận 3", Ward!$E$2:$F$15, IF(J28="Quận 4", Ward!$G$2:$H$16, IF(J28="Quận 5", Ward!$I$2:$J$16, IF(J28="Quận 6", Ward!$K$2:$L$15, IF(J28="Quận 7", Ward!$M$2:$N$11, IF(J28="Quận 8", Ward!$O$2:$P$17, IF(J28="Quận 9", Ward!$Q$2:$R$14, IF(J28="Quận 10", Ward!$S$2:$T$16, IF(J28="Quận 11", Ward!$U$2:$V$17, IF(J28="Quận 12", Ward!$W$2:$X$12, IF(J28="Huyện Bình Chánh", Ward!$Y$2:$Z$17, IF(J28="Quận Bình Tân", Ward!$AA$2:$AB$11, IF(J28="Quận Bình Thạnh", Ward!$AC$2:$AD$21, IF(J28="Huyện Cần Giờ", Ward!$AE$2:$AF$8, IF(J28="Huyện Củ Chi", Ward!$AG$2:$AH$22, IF(J28="Quận Gò Vấp", Ward!$AI$2:$AJ$17, IF(J28="Huyện Hóc Môn", Ward!$AK$2:$AL$13, IF(J28="Huyện Nhà Bè", Ward!$AM$2:$AN$8, IF(J28="Quận Phú Nhuận", Ward!$AO$2:$AP$16, IF(J28="Quận Tân Bình", Ward!$AQ$2:$AR$16, IF(J28="Quận Tân Phú", Ward!$AS$2:$AT$12, IF(J28="Quận Thủ Đức", Ward!$AU$2:$AV$13)))))))))))))))))))))))), 2, FALSE), "")</f>
        <v>27139</v>
      </c>
      <c r="Y28" s="20">
        <f>IF(B28 &lt;&gt; "", VLOOKUP(B28, HospitalType!$A$2:$B$9, 2, FALSE), "")</f>
        <v>1</v>
      </c>
    </row>
    <row r="29" spans="1:25" ht="165" x14ac:dyDescent="0.25">
      <c r="A29" s="34" t="s">
        <v>751</v>
      </c>
      <c r="B29" s="24" t="s">
        <v>310</v>
      </c>
      <c r="C29" s="24" t="s">
        <v>955</v>
      </c>
      <c r="D29" s="24" t="s">
        <v>949</v>
      </c>
      <c r="E29" s="24" t="b">
        <v>0</v>
      </c>
      <c r="F29" s="24"/>
      <c r="G29" s="25" t="s">
        <v>752</v>
      </c>
      <c r="H29" s="25" t="s">
        <v>753</v>
      </c>
      <c r="I29" s="25" t="s">
        <v>12</v>
      </c>
      <c r="J29" s="25" t="s">
        <v>341</v>
      </c>
      <c r="K29" s="25" t="s">
        <v>376</v>
      </c>
      <c r="L29" s="25" t="s">
        <v>754</v>
      </c>
      <c r="M29" s="25" t="s">
        <v>755</v>
      </c>
      <c r="N29" s="25"/>
      <c r="O29" s="25" t="s">
        <v>755</v>
      </c>
      <c r="P29" s="25" t="s">
        <v>749</v>
      </c>
      <c r="Q29" s="24" t="s">
        <v>750</v>
      </c>
      <c r="R29" s="26" t="s">
        <v>970</v>
      </c>
      <c r="S29" s="26" t="s">
        <v>971</v>
      </c>
      <c r="T29" s="26" t="s">
        <v>972</v>
      </c>
      <c r="U29" s="27" t="s">
        <v>997</v>
      </c>
      <c r="V29" s="20">
        <f>IF(I29 &lt;&gt; "", VLOOKUP(I29, City!$A$1:$B$2, 2, FALSE), "" )</f>
        <v>79</v>
      </c>
      <c r="W29" s="20">
        <f>IF(J29 &lt;&gt; "", VLOOKUP(J29, District!$A$1:$B$25, 2, FALSE), "")</f>
        <v>764</v>
      </c>
      <c r="X29" s="21" t="str">
        <f>IF(K29 &lt;&gt; "", VLOOKUP(K29, IF(J29="Quận 1", Ward!$A$2:$B$11, IF(J29="Quận 2", Ward!$C$2:$D$12, IF(J29="Quận 3", Ward!$E$2:$F$15, IF(J29="Quận 4", Ward!$G$2:$H$16, IF(J29="Quận 5", Ward!$I$2:$J$16, IF(J29="Quận 6", Ward!$K$2:$L$15, IF(J29="Quận 7", Ward!$M$2:$N$11, IF(J29="Quận 8", Ward!$O$2:$P$17, IF(J29="Quận 9", Ward!$Q$2:$R$14, IF(J29="Quận 10", Ward!$S$2:$T$16, IF(J29="Quận 11", Ward!$U$2:$V$17, IF(J29="Quận 12", Ward!$W$2:$X$12, IF(J29="Huyện Bình Chánh", Ward!$Y$2:$Z$17, IF(J29="Quận Bình Tân", Ward!$AA$2:$AB$11, IF(J29="Quận Bình Thạnh", Ward!$AC$2:$AD$21, IF(J29="Huyện Cần Giờ", Ward!$AE$2:$AF$8, IF(J29="Huyện Củ Chi", Ward!$AG$2:$AH$22, IF(J29="Quận Gò Vấp", Ward!$AI$2:$AJ$17, IF(J29="Huyện Hóc Môn", Ward!$AK$2:$AL$13, IF(J29="Huyện Nhà Bè", Ward!$AM$2:$AN$8, IF(J29="Quận Phú Nhuận", Ward!$AO$2:$AP$16, IF(J29="Quận Tân Bình", Ward!$AQ$2:$AR$16, IF(J29="Quận Tân Phú", Ward!$AS$2:$AT$12, IF(J29="Quận Thủ Đức", Ward!$AU$2:$AV$13)))))))))))))))))))))))), 2, FALSE), "")</f>
        <v>26884</v>
      </c>
      <c r="Y29" s="20">
        <f>IF(B29 &lt;&gt; "", VLOOKUP(B29, HospitalType!$A$2:$B$9, 2, FALSE), "")</f>
        <v>1</v>
      </c>
    </row>
    <row r="30" spans="1:25" ht="75" x14ac:dyDescent="0.25">
      <c r="A30" s="34" t="s">
        <v>756</v>
      </c>
      <c r="B30" s="24" t="s">
        <v>310</v>
      </c>
      <c r="C30" s="24" t="s">
        <v>964</v>
      </c>
      <c r="D30" s="24" t="s">
        <v>964</v>
      </c>
      <c r="E30" s="24" t="b">
        <v>0</v>
      </c>
      <c r="F30" s="24"/>
      <c r="G30" s="25" t="s">
        <v>757</v>
      </c>
      <c r="H30" s="25" t="s">
        <v>758</v>
      </c>
      <c r="I30" s="25" t="s">
        <v>12</v>
      </c>
      <c r="J30" s="25" t="s">
        <v>334</v>
      </c>
      <c r="K30" s="25" t="s">
        <v>379</v>
      </c>
      <c r="L30" s="25" t="s">
        <v>759</v>
      </c>
      <c r="M30" s="25"/>
      <c r="N30" s="25"/>
      <c r="O30" s="25" t="s">
        <v>760</v>
      </c>
      <c r="P30" s="25" t="s">
        <v>761</v>
      </c>
      <c r="Q30" s="38" t="s">
        <v>762</v>
      </c>
      <c r="R30" s="26" t="s">
        <v>998</v>
      </c>
      <c r="S30" s="26" t="s">
        <v>288</v>
      </c>
      <c r="T30" s="26" t="s">
        <v>981</v>
      </c>
      <c r="U30" s="27" t="s">
        <v>999</v>
      </c>
      <c r="V30" s="20">
        <f>IF(I30 &lt;&gt; "", VLOOKUP(I30, City!$A$1:$B$2, 2, FALSE), "" )</f>
        <v>79</v>
      </c>
      <c r="W30" s="20">
        <f>IF(J30 &lt;&gt; "", VLOOKUP(J30, District!$A$1:$B$25, 2, FALSE), "")</f>
        <v>774</v>
      </c>
      <c r="X30" s="21" t="str">
        <f>IF(K30 &lt;&gt; "", VLOOKUP(K30, IF(J30="Quận 1", Ward!$A$2:$B$11, IF(J30="Quận 2", Ward!$C$2:$D$12, IF(J30="Quận 3", Ward!$E$2:$F$15, IF(J30="Quận 4", Ward!$G$2:$H$16, IF(J30="Quận 5", Ward!$I$2:$J$16, IF(J30="Quận 6", Ward!$K$2:$L$15, IF(J30="Quận 7", Ward!$M$2:$N$11, IF(J30="Quận 8", Ward!$O$2:$P$17, IF(J30="Quận 9", Ward!$Q$2:$R$14, IF(J30="Quận 10", Ward!$S$2:$T$16, IF(J30="Quận 11", Ward!$U$2:$V$17, IF(J30="Quận 12", Ward!$W$2:$X$12, IF(J30="Huyện Bình Chánh", Ward!$Y$2:$Z$17, IF(J30="Quận Bình Tân", Ward!$AA$2:$AB$11, IF(J30="Quận Bình Thạnh", Ward!$AC$2:$AD$21, IF(J30="Huyện Cần Giờ", Ward!$AE$2:$AF$8, IF(J30="Huyện Củ Chi", Ward!$AG$2:$AH$22, IF(J30="Quận Gò Vấp", Ward!$AI$2:$AJ$17, IF(J30="Huyện Hóc Môn", Ward!$AK$2:$AL$13, IF(J30="Huyện Nhà Bè", Ward!$AM$2:$AN$8, IF(J30="Quận Phú Nhuận", Ward!$AO$2:$AP$16, IF(J30="Quận Tân Bình", Ward!$AQ$2:$AR$16, IF(J30="Quận Tân Phú", Ward!$AS$2:$AT$12, IF(J30="Quận Thủ Đức", Ward!$AU$2:$AV$13)))))))))))))))))))))))), 2, FALSE), "")</f>
        <v>27343</v>
      </c>
      <c r="Y30" s="20">
        <f>IF(B30 &lt;&gt; "", VLOOKUP(B30, HospitalType!$A$2:$B$9, 2, FALSE), "")</f>
        <v>1</v>
      </c>
    </row>
    <row r="31" spans="1:25" ht="75" x14ac:dyDescent="0.25">
      <c r="A31" s="34" t="s">
        <v>763</v>
      </c>
      <c r="B31" s="24" t="s">
        <v>310</v>
      </c>
      <c r="C31" s="24" t="s">
        <v>974</v>
      </c>
      <c r="D31" s="24" t="s">
        <v>974</v>
      </c>
      <c r="E31" s="24" t="b">
        <v>0</v>
      </c>
      <c r="F31" s="24"/>
      <c r="G31" s="25" t="s">
        <v>766</v>
      </c>
      <c r="H31" s="25" t="s">
        <v>715</v>
      </c>
      <c r="I31" s="25" t="s">
        <v>12</v>
      </c>
      <c r="J31" s="25" t="s">
        <v>328</v>
      </c>
      <c r="K31" s="25" t="s">
        <v>376</v>
      </c>
      <c r="L31" s="25" t="s">
        <v>765</v>
      </c>
      <c r="M31" s="25"/>
      <c r="N31" s="25"/>
      <c r="O31" s="25"/>
      <c r="P31" s="25"/>
      <c r="Q31" s="38" t="s">
        <v>973</v>
      </c>
      <c r="R31" s="26" t="s">
        <v>54</v>
      </c>
      <c r="S31" s="26" t="s">
        <v>1005</v>
      </c>
      <c r="T31" s="26" t="s">
        <v>1000</v>
      </c>
      <c r="U31" s="27" t="s">
        <v>1001</v>
      </c>
      <c r="V31" s="20">
        <f>IF(I31 &lt;&gt; "", VLOOKUP(I31, City!$A$1:$B$2, 2, FALSE), "" )</f>
        <v>79</v>
      </c>
      <c r="W31" s="20">
        <f>IF(J31 &lt;&gt; "", VLOOKUP(J31, District!$A$1:$B$25, 2, FALSE), "")</f>
        <v>771</v>
      </c>
      <c r="X31" s="21" t="str">
        <f>IF(K31 &lt;&gt; "", VLOOKUP(K31, IF(J31="Quận 1", Ward!$A$2:$B$11, IF(J31="Quận 2", Ward!$C$2:$D$12, IF(J31="Quận 3", Ward!$E$2:$F$15, IF(J31="Quận 4", Ward!$G$2:$H$16, IF(J31="Quận 5", Ward!$I$2:$J$16, IF(J31="Quận 6", Ward!$K$2:$L$15, IF(J31="Quận 7", Ward!$M$2:$N$11, IF(J31="Quận 8", Ward!$O$2:$P$17, IF(J31="Quận 9", Ward!$Q$2:$R$14, IF(J31="Quận 10", Ward!$S$2:$T$16, IF(J31="Quận 11", Ward!$U$2:$V$17, IF(J31="Quận 12", Ward!$W$2:$X$12, IF(J31="Huyện Bình Chánh", Ward!$Y$2:$Z$17, IF(J31="Quận Bình Tân", Ward!$AA$2:$AB$11, IF(J31="Quận Bình Thạnh", Ward!$AC$2:$AD$21, IF(J31="Huyện Cần Giờ", Ward!$AE$2:$AF$8, IF(J31="Huyện Củ Chi", Ward!$AG$2:$AH$22, IF(J31="Quận Gò Vấp", Ward!$AI$2:$AJ$17, IF(J31="Huyện Hóc Môn", Ward!$AK$2:$AL$13, IF(J31="Huyện Nhà Bè", Ward!$AM$2:$AN$8, IF(J31="Quận Phú Nhuận", Ward!$AO$2:$AP$16, IF(J31="Quận Tân Bình", Ward!$AQ$2:$AR$16, IF(J31="Quận Tân Phú", Ward!$AS$2:$AT$12, IF(J31="Quận Thủ Đức", Ward!$AU$2:$AV$13)))))))))))))))))))))))), 2, FALSE), "")</f>
        <v>27178</v>
      </c>
      <c r="Y31" s="20">
        <f>IF(B31 &lt;&gt; "", VLOOKUP(B31, HospitalType!$A$2:$B$9, 2, FALSE), "")</f>
        <v>1</v>
      </c>
    </row>
    <row r="32" spans="1:25" ht="75" x14ac:dyDescent="0.25">
      <c r="A32" s="34" t="s">
        <v>764</v>
      </c>
      <c r="B32" s="24" t="s">
        <v>310</v>
      </c>
      <c r="C32" s="24" t="s">
        <v>974</v>
      </c>
      <c r="D32" s="24" t="s">
        <v>974</v>
      </c>
      <c r="E32" s="24" t="b">
        <v>0</v>
      </c>
      <c r="F32" s="24"/>
      <c r="G32" s="25" t="s">
        <v>767</v>
      </c>
      <c r="H32" s="25" t="s">
        <v>768</v>
      </c>
      <c r="I32" s="25" t="s">
        <v>12</v>
      </c>
      <c r="J32" s="25" t="s">
        <v>327</v>
      </c>
      <c r="K32" s="25" t="s">
        <v>346</v>
      </c>
      <c r="L32" s="25" t="s">
        <v>769</v>
      </c>
      <c r="M32" s="25"/>
      <c r="N32" s="25"/>
      <c r="O32" s="25"/>
      <c r="P32" s="25"/>
      <c r="Q32" s="38" t="s">
        <v>973</v>
      </c>
      <c r="R32" s="26" t="s">
        <v>54</v>
      </c>
      <c r="S32" s="26" t="s">
        <v>1005</v>
      </c>
      <c r="T32" s="26" t="s">
        <v>1000</v>
      </c>
      <c r="U32" s="27" t="s">
        <v>1001</v>
      </c>
      <c r="V32" s="20">
        <f>IF(I32 &lt;&gt; "", VLOOKUP(I32, City!$A$1:$B$2, 2, FALSE), "" )</f>
        <v>79</v>
      </c>
      <c r="W32" s="20">
        <f>IF(J32 &lt;&gt; "", VLOOKUP(J32, District!$A$1:$B$25, 2, FALSE), "")</f>
        <v>760</v>
      </c>
      <c r="X32" s="21">
        <f>IF(K32 &lt;&gt; "", VLOOKUP(K32, IF(J32="Quận 1", Ward!$A$2:$B$11, IF(J32="Quận 2", Ward!$C$2:$D$12, IF(J32="Quận 3", Ward!$E$2:$F$15, IF(J32="Quận 4", Ward!$G$2:$H$16, IF(J32="Quận 5", Ward!$I$2:$J$16, IF(J32="Quận 6", Ward!$K$2:$L$15, IF(J32="Quận 7", Ward!$M$2:$N$11, IF(J32="Quận 8", Ward!$O$2:$P$17, IF(J32="Quận 9", Ward!$Q$2:$R$14, IF(J32="Quận 10", Ward!$S$2:$T$16, IF(J32="Quận 11", Ward!$U$2:$V$17, IF(J32="Quận 12", Ward!$W$2:$X$12, IF(J32="Huyện Bình Chánh", Ward!$Y$2:$Z$17, IF(J32="Quận Bình Tân", Ward!$AA$2:$AB$11, IF(J32="Quận Bình Thạnh", Ward!$AC$2:$AD$21, IF(J32="Huyện Cần Giờ", Ward!$AE$2:$AF$8, IF(J32="Huyện Củ Chi", Ward!$AG$2:$AH$22, IF(J32="Quận Gò Vấp", Ward!$AI$2:$AJ$17, IF(J32="Huyện Hóc Môn", Ward!$AK$2:$AL$13, IF(J32="Huyện Nhà Bè", Ward!$AM$2:$AN$8, IF(J32="Quận Phú Nhuận", Ward!$AO$2:$AP$16, IF(J32="Quận Tân Bình", Ward!$AQ$2:$AR$16, IF(J32="Quận Tân Phú", Ward!$AS$2:$AT$12, IF(J32="Quận Thủ Đức", Ward!$AU$2:$AV$13)))))))))))))))))))))))), 2, FALSE), "")</f>
        <v>26740</v>
      </c>
      <c r="Y32" s="20">
        <f>IF(B32 &lt;&gt; "", VLOOKUP(B32, HospitalType!$A$2:$B$9, 2, FALSE), "")</f>
        <v>1</v>
      </c>
    </row>
    <row r="33" spans="1:25" ht="75" x14ac:dyDescent="0.25">
      <c r="A33" s="34" t="s">
        <v>770</v>
      </c>
      <c r="B33" s="24" t="s">
        <v>310</v>
      </c>
      <c r="C33" s="24" t="s">
        <v>700</v>
      </c>
      <c r="D33" s="24" t="s">
        <v>975</v>
      </c>
      <c r="E33" s="24" t="b">
        <v>0</v>
      </c>
      <c r="F33" s="24"/>
      <c r="G33" s="25" t="s">
        <v>771</v>
      </c>
      <c r="H33" s="25" t="s">
        <v>747</v>
      </c>
      <c r="I33" s="25" t="s">
        <v>12</v>
      </c>
      <c r="J33" s="25" t="s">
        <v>332</v>
      </c>
      <c r="K33" s="25" t="s">
        <v>374</v>
      </c>
      <c r="L33" s="25" t="s">
        <v>772</v>
      </c>
      <c r="M33" s="25"/>
      <c r="N33" s="25"/>
      <c r="O33" s="25" t="s">
        <v>773</v>
      </c>
      <c r="P33" s="25"/>
      <c r="Q33" s="38" t="s">
        <v>976</v>
      </c>
      <c r="R33" s="26" t="s">
        <v>1002</v>
      </c>
      <c r="S33" s="26"/>
      <c r="T33" s="26" t="s">
        <v>1003</v>
      </c>
      <c r="U33" s="27" t="s">
        <v>1004</v>
      </c>
      <c r="V33" s="20">
        <f>IF(I33 &lt;&gt; "", VLOOKUP(I33, City!$A$1:$B$2, 2, FALSE), "" )</f>
        <v>79</v>
      </c>
      <c r="W33" s="20">
        <f>IF(J33 &lt;&gt; "", VLOOKUP(J33, District!$A$1:$B$25, 2, FALSE), "")</f>
        <v>770</v>
      </c>
      <c r="X33" s="21" t="str">
        <f>IF(K33 &lt;&gt; "", VLOOKUP(K33, IF(J33="Quận 1", Ward!$A$2:$B$11, IF(J33="Quận 2", Ward!$C$2:$D$12, IF(J33="Quận 3", Ward!$E$2:$F$15, IF(J33="Quận 4", Ward!$G$2:$H$16, IF(J33="Quận 5", Ward!$I$2:$J$16, IF(J33="Quận 6", Ward!$K$2:$L$15, IF(J33="Quận 7", Ward!$M$2:$N$11, IF(J33="Quận 8", Ward!$O$2:$P$17, IF(J33="Quận 9", Ward!$Q$2:$R$14, IF(J33="Quận 10", Ward!$S$2:$T$16, IF(J33="Quận 11", Ward!$U$2:$V$17, IF(J33="Quận 12", Ward!$W$2:$X$12, IF(J33="Huyện Bình Chánh", Ward!$Y$2:$Z$17, IF(J33="Quận Bình Tân", Ward!$AA$2:$AB$11, IF(J33="Quận Bình Thạnh", Ward!$AC$2:$AD$21, IF(J33="Huyện Cần Giờ", Ward!$AE$2:$AF$8, IF(J33="Huyện Củ Chi", Ward!$AG$2:$AH$22, IF(J33="Quận Gò Vấp", Ward!$AI$2:$AJ$17, IF(J33="Huyện Hóc Môn", Ward!$AK$2:$AL$13, IF(J33="Huyện Nhà Bè", Ward!$AM$2:$AN$8, IF(J33="Quận Phú Nhuận", Ward!$AO$2:$AP$16, IF(J33="Quận Tân Bình", Ward!$AQ$2:$AR$16, IF(J33="Quận Tân Phú", Ward!$AS$2:$AT$12, IF(J33="Quận Thủ Đức", Ward!$AU$2:$AV$13)))))))))))))))))))))))), 2, FALSE), "")</f>
        <v>27121</v>
      </c>
      <c r="Y33" s="20">
        <f>IF(B33 &lt;&gt; "", VLOOKUP(B33, HospitalType!$A$2:$B$9, 2, FALSE), "")</f>
        <v>1</v>
      </c>
    </row>
    <row r="34" spans="1:25" ht="60" x14ac:dyDescent="0.25">
      <c r="A34" s="34" t="s">
        <v>774</v>
      </c>
      <c r="B34" s="24" t="s">
        <v>310</v>
      </c>
      <c r="C34" s="24" t="s">
        <v>945</v>
      </c>
      <c r="D34" s="24" t="s">
        <v>945</v>
      </c>
      <c r="E34" s="24" t="b">
        <v>0</v>
      </c>
      <c r="F34" s="24"/>
      <c r="G34" s="25" t="s">
        <v>775</v>
      </c>
      <c r="H34" s="25" t="s">
        <v>728</v>
      </c>
      <c r="I34" s="25" t="s">
        <v>12</v>
      </c>
      <c r="J34" s="25" t="s">
        <v>334</v>
      </c>
      <c r="K34" s="25" t="s">
        <v>378</v>
      </c>
      <c r="L34" s="25" t="s">
        <v>776</v>
      </c>
      <c r="M34" s="25"/>
      <c r="N34" s="25"/>
      <c r="O34" s="25" t="s">
        <v>777</v>
      </c>
      <c r="P34" s="25" t="s">
        <v>778</v>
      </c>
      <c r="Q34" s="38" t="s">
        <v>977</v>
      </c>
      <c r="R34" s="26" t="s">
        <v>1007</v>
      </c>
      <c r="S34" s="26" t="s">
        <v>1012</v>
      </c>
      <c r="T34" s="26" t="s">
        <v>1006</v>
      </c>
      <c r="U34" s="27" t="s">
        <v>1008</v>
      </c>
      <c r="V34" s="20">
        <f>IF(I34 &lt;&gt; "", VLOOKUP(I34, City!$A$1:$B$2, 2, FALSE), "" )</f>
        <v>79</v>
      </c>
      <c r="W34" s="20">
        <f>IF(J34 &lt;&gt; "", VLOOKUP(J34, District!$A$1:$B$25, 2, FALSE), "")</f>
        <v>774</v>
      </c>
      <c r="X34" s="21" t="str">
        <f>IF(K34 &lt;&gt; "", VLOOKUP(K34, IF(J34="Quận 1", Ward!$A$2:$B$11, IF(J34="Quận 2", Ward!$C$2:$D$12, IF(J34="Quận 3", Ward!$E$2:$F$15, IF(J34="Quận 4", Ward!$G$2:$H$16, IF(J34="Quận 5", Ward!$I$2:$J$16, IF(J34="Quận 6", Ward!$K$2:$L$15, IF(J34="Quận 7", Ward!$M$2:$N$11, IF(J34="Quận 8", Ward!$O$2:$P$17, IF(J34="Quận 9", Ward!$Q$2:$R$14, IF(J34="Quận 10", Ward!$S$2:$T$16, IF(J34="Quận 11", Ward!$U$2:$V$17, IF(J34="Quận 12", Ward!$W$2:$X$12, IF(J34="Huyện Bình Chánh", Ward!$Y$2:$Z$17, IF(J34="Quận Bình Tân", Ward!$AA$2:$AB$11, IF(J34="Quận Bình Thạnh", Ward!$AC$2:$AD$21, IF(J34="Huyện Cần Giờ", Ward!$AE$2:$AF$8, IF(J34="Huyện Củ Chi", Ward!$AG$2:$AH$22, IF(J34="Quận Gò Vấp", Ward!$AI$2:$AJ$17, IF(J34="Huyện Hóc Môn", Ward!$AK$2:$AL$13, IF(J34="Huyện Nhà Bè", Ward!$AM$2:$AN$8, IF(J34="Quận Phú Nhuận", Ward!$AO$2:$AP$16, IF(J34="Quận Tân Bình", Ward!$AQ$2:$AR$16, IF(J34="Quận Tân Phú", Ward!$AS$2:$AT$12, IF(J34="Quận Thủ Đức", Ward!$AU$2:$AV$13)))))))))))))))))))))))), 2, FALSE), "")</f>
        <v>27310</v>
      </c>
      <c r="Y34" s="20">
        <f>IF(B34 &lt;&gt; "", VLOOKUP(B34, HospitalType!$A$2:$B$9, 2, FALSE), "")</f>
        <v>1</v>
      </c>
    </row>
    <row r="35" spans="1:25" ht="60" x14ac:dyDescent="0.25">
      <c r="A35" s="34" t="s">
        <v>779</v>
      </c>
      <c r="B35" s="24" t="s">
        <v>314</v>
      </c>
      <c r="C35" s="24" t="s">
        <v>979</v>
      </c>
      <c r="D35" s="24" t="s">
        <v>980</v>
      </c>
      <c r="E35" s="24" t="b">
        <v>0</v>
      </c>
      <c r="F35" s="24"/>
      <c r="G35" s="25" t="s">
        <v>780</v>
      </c>
      <c r="H35" s="25" t="s">
        <v>781</v>
      </c>
      <c r="I35" s="25" t="s">
        <v>12</v>
      </c>
      <c r="J35" s="25" t="s">
        <v>328</v>
      </c>
      <c r="K35" s="25" t="s">
        <v>370</v>
      </c>
      <c r="L35" s="25" t="s">
        <v>776</v>
      </c>
      <c r="M35" s="25"/>
      <c r="N35" s="25"/>
      <c r="O35" s="25" t="s">
        <v>777</v>
      </c>
      <c r="P35" s="25"/>
      <c r="Q35" s="24" t="s">
        <v>978</v>
      </c>
      <c r="R35" s="26" t="s">
        <v>1013</v>
      </c>
      <c r="S35" s="26" t="s">
        <v>1011</v>
      </c>
      <c r="T35" s="26" t="s">
        <v>1010</v>
      </c>
      <c r="U35" s="27" t="s">
        <v>1014</v>
      </c>
      <c r="V35" s="20">
        <f>IF(I35 &lt;&gt; "", VLOOKUP(I35, City!$A$1:$B$2, 2, FALSE), "" )</f>
        <v>79</v>
      </c>
      <c r="W35" s="20">
        <f>IF(J35 &lt;&gt; "", VLOOKUP(J35, District!$A$1:$B$25, 2, FALSE), "")</f>
        <v>771</v>
      </c>
      <c r="X35" s="21" t="str">
        <f>IF(K35 &lt;&gt; "", VLOOKUP(K35, IF(J35="Quận 1", Ward!$A$2:$B$11, IF(J35="Quận 2", Ward!$C$2:$D$12, IF(J35="Quận 3", Ward!$E$2:$F$15, IF(J35="Quận 4", Ward!$G$2:$H$16, IF(J35="Quận 5", Ward!$I$2:$J$16, IF(J35="Quận 6", Ward!$K$2:$L$15, IF(J35="Quận 7", Ward!$M$2:$N$11, IF(J35="Quận 8", Ward!$O$2:$P$17, IF(J35="Quận 9", Ward!$Q$2:$R$14, IF(J35="Quận 10", Ward!$S$2:$T$16, IF(J35="Quận 11", Ward!$U$2:$V$17, IF(J35="Quận 12", Ward!$W$2:$X$12, IF(J35="Huyện Bình Chánh", Ward!$Y$2:$Z$17, IF(J35="Quận Bình Tân", Ward!$AA$2:$AB$11, IF(J35="Quận Bình Thạnh", Ward!$AC$2:$AD$21, IF(J35="Huyện Cần Giờ", Ward!$AE$2:$AF$8, IF(J35="Huyện Củ Chi", Ward!$AG$2:$AH$22, IF(J35="Quận Gò Vấp", Ward!$AI$2:$AJ$17, IF(J35="Huyện Hóc Môn", Ward!$AK$2:$AL$13, IF(J35="Huyện Nhà Bè", Ward!$AM$2:$AN$8, IF(J35="Quận Phú Nhuận", Ward!$AO$2:$AP$16, IF(J35="Quận Tân Bình", Ward!$AQ$2:$AR$16, IF(J35="Quận Tân Phú", Ward!$AS$2:$AT$12, IF(J35="Quận Thủ Đức", Ward!$AU$2:$AV$13)))))))))))))))))))))))), 2, FALSE), "")</f>
        <v>27193</v>
      </c>
      <c r="Y35" s="20">
        <f>IF(B35 &lt;&gt; "", VLOOKUP(B35, HospitalType!$A$2:$B$9, 2, FALSE), "")</f>
        <v>2</v>
      </c>
    </row>
    <row r="36" spans="1:25" ht="45" x14ac:dyDescent="0.25">
      <c r="A36" s="34" t="s">
        <v>782</v>
      </c>
      <c r="B36" s="24" t="s">
        <v>310</v>
      </c>
      <c r="C36" s="24" t="s">
        <v>533</v>
      </c>
      <c r="D36" s="24" t="s">
        <v>533</v>
      </c>
      <c r="E36" s="24" t="b">
        <v>0</v>
      </c>
      <c r="F36" s="24"/>
      <c r="G36" s="25" t="s">
        <v>783</v>
      </c>
      <c r="H36" s="25" t="s">
        <v>784</v>
      </c>
      <c r="I36" s="25" t="s">
        <v>12</v>
      </c>
      <c r="J36" s="25" t="s">
        <v>328</v>
      </c>
      <c r="K36" s="25" t="s">
        <v>378</v>
      </c>
      <c r="L36" s="25" t="s">
        <v>785</v>
      </c>
      <c r="M36" s="25"/>
      <c r="N36" s="25"/>
      <c r="O36" s="25" t="s">
        <v>786</v>
      </c>
      <c r="P36" s="25"/>
      <c r="Q36" s="24"/>
      <c r="R36" s="26" t="s">
        <v>75</v>
      </c>
      <c r="S36" s="26" t="s">
        <v>1017</v>
      </c>
      <c r="T36" s="26" t="s">
        <v>1025</v>
      </c>
      <c r="U36" s="27" t="s">
        <v>1030</v>
      </c>
      <c r="V36" s="20">
        <f>IF(I36 &lt;&gt; "", VLOOKUP(I36, City!$A$1:$B$2, 2, FALSE), "" )</f>
        <v>79</v>
      </c>
      <c r="W36" s="20">
        <f>IF(J36 &lt;&gt; "", VLOOKUP(J36, District!$A$1:$B$25, 2, FALSE), "")</f>
        <v>771</v>
      </c>
      <c r="X36" s="21" t="str">
        <f>IF(K36 &lt;&gt; "", VLOOKUP(K36, IF(J36="Quận 1", Ward!$A$2:$B$11, IF(J36="Quận 2", Ward!$C$2:$D$12, IF(J36="Quận 3", Ward!$E$2:$F$15, IF(J36="Quận 4", Ward!$G$2:$H$16, IF(J36="Quận 5", Ward!$I$2:$J$16, IF(J36="Quận 6", Ward!$K$2:$L$15, IF(J36="Quận 7", Ward!$M$2:$N$11, IF(J36="Quận 8", Ward!$O$2:$P$17, IF(J36="Quận 9", Ward!$Q$2:$R$14, IF(J36="Quận 10", Ward!$S$2:$T$16, IF(J36="Quận 11", Ward!$U$2:$V$17, IF(J36="Quận 12", Ward!$W$2:$X$12, IF(J36="Huyện Bình Chánh", Ward!$Y$2:$Z$17, IF(J36="Quận Bình Tân", Ward!$AA$2:$AB$11, IF(J36="Quận Bình Thạnh", Ward!$AC$2:$AD$21, IF(J36="Huyện Cần Giờ", Ward!$AE$2:$AF$8, IF(J36="Huyện Củ Chi", Ward!$AG$2:$AH$22, IF(J36="Quận Gò Vấp", Ward!$AI$2:$AJ$17, IF(J36="Huyện Hóc Môn", Ward!$AK$2:$AL$13, IF(J36="Huyện Nhà Bè", Ward!$AM$2:$AN$8, IF(J36="Quận Phú Nhuận", Ward!$AO$2:$AP$16, IF(J36="Quận Tân Bình", Ward!$AQ$2:$AR$16, IF(J36="Quận Tân Phú", Ward!$AS$2:$AT$12, IF(J36="Quận Thủ Đức", Ward!$AU$2:$AV$13)))))))))))))))))))))))), 2, FALSE), "")</f>
        <v>27172</v>
      </c>
      <c r="Y36" s="20">
        <f>IF(B36 &lt;&gt; "", VLOOKUP(B36, HospitalType!$A$2:$B$9, 2, FALSE), "")</f>
        <v>1</v>
      </c>
    </row>
    <row r="37" spans="1:25" ht="75" x14ac:dyDescent="0.25">
      <c r="A37" s="34" t="s">
        <v>787</v>
      </c>
      <c r="B37" s="24" t="s">
        <v>314</v>
      </c>
      <c r="C37" s="24" t="s">
        <v>553</v>
      </c>
      <c r="D37" s="24" t="s">
        <v>553</v>
      </c>
      <c r="E37" s="24" t="b">
        <v>0</v>
      </c>
      <c r="F37" s="24"/>
      <c r="G37" s="25" t="s">
        <v>788</v>
      </c>
      <c r="H37" s="25" t="s">
        <v>571</v>
      </c>
      <c r="I37" s="25" t="s">
        <v>12</v>
      </c>
      <c r="J37" s="25" t="s">
        <v>336</v>
      </c>
      <c r="K37" s="25" t="s">
        <v>390</v>
      </c>
      <c r="L37" s="25" t="s">
        <v>789</v>
      </c>
      <c r="M37" s="25"/>
      <c r="N37" s="25"/>
      <c r="O37" s="25" t="s">
        <v>790</v>
      </c>
      <c r="P37" s="25"/>
      <c r="Q37" s="24" t="s">
        <v>795</v>
      </c>
      <c r="R37" s="26" t="s">
        <v>75</v>
      </c>
      <c r="S37" s="26" t="s">
        <v>1017</v>
      </c>
      <c r="T37" s="26" t="s">
        <v>1009</v>
      </c>
      <c r="U37" s="27" t="s">
        <v>1031</v>
      </c>
      <c r="V37" s="20">
        <f>IF(I37 &lt;&gt; "", VLOOKUP(I37, City!$A$1:$B$2, 2, FALSE), "" )</f>
        <v>79</v>
      </c>
      <c r="W37" s="20">
        <f>IF(J37 &lt;&gt; "", VLOOKUP(J37, District!$A$1:$B$25, 2, FALSE), "")</f>
        <v>778</v>
      </c>
      <c r="X37" s="21">
        <f>IF(K37 &lt;&gt; "", VLOOKUP(K37, IF(J37="Quận 1", Ward!$A$2:$B$11, IF(J37="Quận 2", Ward!$C$2:$D$12, IF(J37="Quận 3", Ward!$E$2:$F$15, IF(J37="Quận 4", Ward!$G$2:$H$16, IF(J37="Quận 5", Ward!$I$2:$J$16, IF(J37="Quận 6", Ward!$K$2:$L$15, IF(J37="Quận 7", Ward!$M$2:$N$11, IF(J37="Quận 8", Ward!$O$2:$P$17, IF(J37="Quận 9", Ward!$Q$2:$R$14, IF(J37="Quận 10", Ward!$S$2:$T$16, IF(J37="Quận 11", Ward!$U$2:$V$17, IF(J37="Quận 12", Ward!$W$2:$X$12, IF(J37="Huyện Bình Chánh", Ward!$Y$2:$Z$17, IF(J37="Quận Bình Tân", Ward!$AA$2:$AB$11, IF(J37="Quận Bình Thạnh", Ward!$AC$2:$AD$21, IF(J37="Huyện Cần Giờ", Ward!$AE$2:$AF$8, IF(J37="Huyện Củ Chi", Ward!$AG$2:$AH$22, IF(J37="Quận Gò Vấp", Ward!$AI$2:$AJ$17, IF(J37="Huyện Hóc Môn", Ward!$AK$2:$AL$13, IF(J37="Huyện Nhà Bè", Ward!$AM$2:$AN$8, IF(J37="Quận Phú Nhuận", Ward!$AO$2:$AP$16, IF(J37="Quận Tân Bình", Ward!$AQ$2:$AR$16, IF(J37="Quận Tân Phú", Ward!$AS$2:$AT$12, IF(J37="Quận Thủ Đức", Ward!$AU$2:$AV$13)))))))))))))))))))))))), 2, FALSE), "")</f>
        <v>27487</v>
      </c>
      <c r="Y37" s="20">
        <f>IF(B37 &lt;&gt; "", VLOOKUP(B37, HospitalType!$A$2:$B$9, 2, FALSE), "")</f>
        <v>2</v>
      </c>
    </row>
    <row r="38" spans="1:25" ht="45" x14ac:dyDescent="0.25">
      <c r="A38" s="34" t="s">
        <v>791</v>
      </c>
      <c r="B38" s="24" t="s">
        <v>310</v>
      </c>
      <c r="C38" s="24" t="s">
        <v>553</v>
      </c>
      <c r="D38" s="24" t="s">
        <v>553</v>
      </c>
      <c r="E38" s="24" t="b">
        <v>0</v>
      </c>
      <c r="F38" s="24"/>
      <c r="G38" s="25" t="s">
        <v>792</v>
      </c>
      <c r="H38" s="25" t="s">
        <v>642</v>
      </c>
      <c r="I38" s="25" t="s">
        <v>12</v>
      </c>
      <c r="J38" s="25" t="s">
        <v>334</v>
      </c>
      <c r="K38" s="25" t="s">
        <v>367</v>
      </c>
      <c r="L38" s="25" t="s">
        <v>793</v>
      </c>
      <c r="M38" s="25"/>
      <c r="N38" s="25"/>
      <c r="O38" s="25" t="s">
        <v>794</v>
      </c>
      <c r="P38" s="25"/>
      <c r="R38" s="26" t="s">
        <v>1016</v>
      </c>
      <c r="S38" s="26" t="s">
        <v>1017</v>
      </c>
      <c r="T38" s="26" t="s">
        <v>1026</v>
      </c>
      <c r="U38" s="27" t="s">
        <v>1032</v>
      </c>
      <c r="V38" s="20">
        <f>IF(I38 &lt;&gt; "", VLOOKUP(I38, City!$A$1:$B$2, 2, FALSE), "" )</f>
        <v>79</v>
      </c>
      <c r="W38" s="20">
        <f>IF(J38 &lt;&gt; "", VLOOKUP(J38, District!$A$1:$B$25, 2, FALSE), "")</f>
        <v>774</v>
      </c>
      <c r="X38" s="21" t="str">
        <f>IF(K38 &lt;&gt; "", VLOOKUP(K38, IF(J38="Quận 1", Ward!$A$2:$B$11, IF(J38="Quận 2", Ward!$C$2:$D$12, IF(J38="Quận 3", Ward!$E$2:$F$15, IF(J38="Quận 4", Ward!$G$2:$H$16, IF(J38="Quận 5", Ward!$I$2:$J$16, IF(J38="Quận 6", Ward!$K$2:$L$15, IF(J38="Quận 7", Ward!$M$2:$N$11, IF(J38="Quận 8", Ward!$O$2:$P$17, IF(J38="Quận 9", Ward!$Q$2:$R$14, IF(J38="Quận 10", Ward!$S$2:$T$16, IF(J38="Quận 11", Ward!$U$2:$V$17, IF(J38="Quận 12", Ward!$W$2:$X$12, IF(J38="Huyện Bình Chánh", Ward!$Y$2:$Z$17, IF(J38="Quận Bình Tân", Ward!$AA$2:$AB$11, IF(J38="Quận Bình Thạnh", Ward!$AC$2:$AD$21, IF(J38="Huyện Cần Giờ", Ward!$AE$2:$AF$8, IF(J38="Huyện Củ Chi", Ward!$AG$2:$AH$22, IF(J38="Quận Gò Vấp", Ward!$AI$2:$AJ$17, IF(J38="Huyện Hóc Môn", Ward!$AK$2:$AL$13, IF(J38="Huyện Nhà Bè", Ward!$AM$2:$AN$8, IF(J38="Quận Phú Nhuận", Ward!$AO$2:$AP$16, IF(J38="Quận Tân Bình", Ward!$AQ$2:$AR$16, IF(J38="Quận Tân Phú", Ward!$AS$2:$AT$12, IF(J38="Quận Thủ Đức", Ward!$AU$2:$AV$13)))))))))))))))))))))))), 2, FALSE), "")</f>
        <v>27325</v>
      </c>
      <c r="Y38" s="20">
        <f>IF(B38 &lt;&gt; "", VLOOKUP(B38, HospitalType!$A$2:$B$9, 2, FALSE), "")</f>
        <v>1</v>
      </c>
    </row>
    <row r="39" spans="1:25" ht="60" x14ac:dyDescent="0.25">
      <c r="A39" s="34" t="s">
        <v>796</v>
      </c>
      <c r="B39" s="24" t="s">
        <v>311</v>
      </c>
      <c r="C39" s="24" t="s">
        <v>556</v>
      </c>
      <c r="D39" s="24" t="s">
        <v>556</v>
      </c>
      <c r="E39" s="24" t="b">
        <v>0</v>
      </c>
      <c r="F39" s="24"/>
      <c r="G39" s="25" t="s">
        <v>534</v>
      </c>
      <c r="H39" s="25" t="s">
        <v>797</v>
      </c>
      <c r="I39" s="25" t="s">
        <v>12</v>
      </c>
      <c r="J39" s="25" t="s">
        <v>344</v>
      </c>
      <c r="K39" s="25" t="s">
        <v>516</v>
      </c>
      <c r="L39" s="25" t="s">
        <v>798</v>
      </c>
      <c r="M39" s="25"/>
      <c r="N39" s="25"/>
      <c r="O39" s="25" t="s">
        <v>799</v>
      </c>
      <c r="P39" s="25"/>
      <c r="Q39" s="24"/>
      <c r="R39" s="26" t="s">
        <v>70</v>
      </c>
      <c r="S39" s="26" t="s">
        <v>1018</v>
      </c>
      <c r="T39" s="26" t="s">
        <v>1027</v>
      </c>
      <c r="U39" s="27" t="s">
        <v>1033</v>
      </c>
      <c r="V39" s="20">
        <f>IF(I39 &lt;&gt; "", VLOOKUP(I39, City!$A$1:$B$2, 2, FALSE), "" )</f>
        <v>79</v>
      </c>
      <c r="W39" s="20">
        <f>IF(J39 &lt;&gt; "", VLOOKUP(J39, District!$A$1:$B$25, 2, FALSE), "")</f>
        <v>767</v>
      </c>
      <c r="X39" s="21">
        <f>IF(K39 &lt;&gt; "", VLOOKUP(K39, IF(J39="Quận 1", Ward!$A$2:$B$11, IF(J39="Quận 2", Ward!$C$2:$D$12, IF(J39="Quận 3", Ward!$E$2:$F$15, IF(J39="Quận 4", Ward!$G$2:$H$16, IF(J39="Quận 5", Ward!$I$2:$J$16, IF(J39="Quận 6", Ward!$K$2:$L$15, IF(J39="Quận 7", Ward!$M$2:$N$11, IF(J39="Quận 8", Ward!$O$2:$P$17, IF(J39="Quận 9", Ward!$Q$2:$R$14, IF(J39="Quận 10", Ward!$S$2:$T$16, IF(J39="Quận 11", Ward!$U$2:$V$17, IF(J39="Quận 12", Ward!$W$2:$X$12, IF(J39="Huyện Bình Chánh", Ward!$Y$2:$Z$17, IF(J39="Quận Bình Tân", Ward!$AA$2:$AB$11, IF(J39="Quận Bình Thạnh", Ward!$AC$2:$AD$21, IF(J39="Huyện Cần Giờ", Ward!$AE$2:$AF$8, IF(J39="Huyện Củ Chi", Ward!$AG$2:$AH$22, IF(J39="Quận Gò Vấp", Ward!$AI$2:$AJ$17, IF(J39="Huyện Hóc Môn", Ward!$AK$2:$AL$13, IF(J39="Huyện Nhà Bè", Ward!$AM$2:$AN$8, IF(J39="Quận Phú Nhuận", Ward!$AO$2:$AP$16, IF(J39="Quận Tân Bình", Ward!$AQ$2:$AR$16, IF(J39="Quận Tân Phú", Ward!$AS$2:$AT$12, IF(J39="Quận Thủ Đức", Ward!$AU$2:$AV$13)))))))))))))))))))))))), 2, FALSE), "")</f>
        <v>27040</v>
      </c>
      <c r="Y39" s="20">
        <f>IF(B39 &lt;&gt; "", VLOOKUP(B39, HospitalType!$A$2:$B$9, 2, FALSE), "")</f>
        <v>3</v>
      </c>
    </row>
    <row r="40" spans="1:25" ht="60" x14ac:dyDescent="0.25">
      <c r="A40" s="34" t="s">
        <v>800</v>
      </c>
      <c r="B40" s="24" t="s">
        <v>310</v>
      </c>
      <c r="C40" s="24" t="s">
        <v>575</v>
      </c>
      <c r="D40" s="24" t="s">
        <v>575</v>
      </c>
      <c r="E40" s="24" t="b">
        <v>0</v>
      </c>
      <c r="F40" s="24"/>
      <c r="G40" s="37" t="s">
        <v>801</v>
      </c>
      <c r="H40" s="25" t="s">
        <v>758</v>
      </c>
      <c r="I40" s="25" t="s">
        <v>12</v>
      </c>
      <c r="J40" s="25" t="s">
        <v>334</v>
      </c>
      <c r="K40" s="25" t="s">
        <v>367</v>
      </c>
      <c r="L40" s="25" t="s">
        <v>802</v>
      </c>
      <c r="M40" s="25"/>
      <c r="N40" s="25"/>
      <c r="O40" s="25" t="s">
        <v>803</v>
      </c>
      <c r="P40" s="25"/>
      <c r="Q40" s="24" t="s">
        <v>804</v>
      </c>
      <c r="R40" s="26" t="s">
        <v>70</v>
      </c>
      <c r="S40" s="26" t="s">
        <v>1018</v>
      </c>
      <c r="T40" s="26" t="s">
        <v>1028</v>
      </c>
      <c r="U40" s="27" t="s">
        <v>1034</v>
      </c>
      <c r="V40" s="20">
        <f>IF(I40 &lt;&gt; "", VLOOKUP(I40, City!$A$1:$B$2, 2, FALSE), "" )</f>
        <v>79</v>
      </c>
      <c r="W40" s="20">
        <f>IF(J40 &lt;&gt; "", VLOOKUP(J40, District!$A$1:$B$25, 2, FALSE), "")</f>
        <v>774</v>
      </c>
      <c r="X40" s="21" t="str">
        <f>IF(K40 &lt;&gt; "", VLOOKUP(K40, IF(J40="Quận 1", Ward!$A$2:$B$11, IF(J40="Quận 2", Ward!$C$2:$D$12, IF(J40="Quận 3", Ward!$E$2:$F$15, IF(J40="Quận 4", Ward!$G$2:$H$16, IF(J40="Quận 5", Ward!$I$2:$J$16, IF(J40="Quận 6", Ward!$K$2:$L$15, IF(J40="Quận 7", Ward!$M$2:$N$11, IF(J40="Quận 8", Ward!$O$2:$P$17, IF(J40="Quận 9", Ward!$Q$2:$R$14, IF(J40="Quận 10", Ward!$S$2:$T$16, IF(J40="Quận 11", Ward!$U$2:$V$17, IF(J40="Quận 12", Ward!$W$2:$X$12, IF(J40="Huyện Bình Chánh", Ward!$Y$2:$Z$17, IF(J40="Quận Bình Tân", Ward!$AA$2:$AB$11, IF(J40="Quận Bình Thạnh", Ward!$AC$2:$AD$21, IF(J40="Huyện Cần Giờ", Ward!$AE$2:$AF$8, IF(J40="Huyện Củ Chi", Ward!$AG$2:$AH$22, IF(J40="Quận Gò Vấp", Ward!$AI$2:$AJ$17, IF(J40="Huyện Hóc Môn", Ward!$AK$2:$AL$13, IF(J40="Huyện Nhà Bè", Ward!$AM$2:$AN$8, IF(J40="Quận Phú Nhuận", Ward!$AO$2:$AP$16, IF(J40="Quận Tân Bình", Ward!$AQ$2:$AR$16, IF(J40="Quận Tân Phú", Ward!$AS$2:$AT$12, IF(J40="Quận Thủ Đức", Ward!$AU$2:$AV$13)))))))))))))))))))))))), 2, FALSE), "")</f>
        <v>27325</v>
      </c>
      <c r="Y40" s="20">
        <f>IF(B40 &lt;&gt; "", VLOOKUP(B40, HospitalType!$A$2:$B$9, 2, FALSE), "")</f>
        <v>1</v>
      </c>
    </row>
    <row r="41" spans="1:25" ht="45" x14ac:dyDescent="0.25">
      <c r="A41" s="34" t="s">
        <v>805</v>
      </c>
      <c r="B41" s="24" t="s">
        <v>310</v>
      </c>
      <c r="C41" s="24" t="s">
        <v>584</v>
      </c>
      <c r="D41" s="24" t="s">
        <v>585</v>
      </c>
      <c r="E41" s="24" t="b">
        <v>0</v>
      </c>
      <c r="F41" s="24"/>
      <c r="G41" s="25" t="s">
        <v>806</v>
      </c>
      <c r="H41" s="25" t="s">
        <v>807</v>
      </c>
      <c r="I41" s="25" t="s">
        <v>12</v>
      </c>
      <c r="J41" s="25" t="s">
        <v>334</v>
      </c>
      <c r="K41" s="25" t="s">
        <v>378</v>
      </c>
      <c r="L41" s="25" t="s">
        <v>808</v>
      </c>
      <c r="M41" s="25"/>
      <c r="N41" s="25"/>
      <c r="O41" s="25" t="s">
        <v>809</v>
      </c>
      <c r="P41" s="25"/>
      <c r="Q41" s="24"/>
      <c r="R41" s="26" t="s">
        <v>45</v>
      </c>
      <c r="S41" s="26" t="s">
        <v>1019</v>
      </c>
      <c r="T41" s="26" t="s">
        <v>1028</v>
      </c>
      <c r="U41" s="27" t="s">
        <v>1035</v>
      </c>
      <c r="V41" s="20">
        <f>IF(I41 &lt;&gt; "", VLOOKUP(I41, City!$A$1:$B$2, 2, FALSE), "" )</f>
        <v>79</v>
      </c>
      <c r="W41" s="20">
        <f>IF(J41 &lt;&gt; "", VLOOKUP(J41, District!$A$1:$B$25, 2, FALSE), "")</f>
        <v>774</v>
      </c>
      <c r="X41" s="21" t="str">
        <f>IF(K41 &lt;&gt; "", VLOOKUP(K41, IF(J41="Quận 1", Ward!$A$2:$B$11, IF(J41="Quận 2", Ward!$C$2:$D$12, IF(J41="Quận 3", Ward!$E$2:$F$15, IF(J41="Quận 4", Ward!$G$2:$H$16, IF(J41="Quận 5", Ward!$I$2:$J$16, IF(J41="Quận 6", Ward!$K$2:$L$15, IF(J41="Quận 7", Ward!$M$2:$N$11, IF(J41="Quận 8", Ward!$O$2:$P$17, IF(J41="Quận 9", Ward!$Q$2:$R$14, IF(J41="Quận 10", Ward!$S$2:$T$16, IF(J41="Quận 11", Ward!$U$2:$V$17, IF(J41="Quận 12", Ward!$W$2:$X$12, IF(J41="Huyện Bình Chánh", Ward!$Y$2:$Z$17, IF(J41="Quận Bình Tân", Ward!$AA$2:$AB$11, IF(J41="Quận Bình Thạnh", Ward!$AC$2:$AD$21, IF(J41="Huyện Cần Giờ", Ward!$AE$2:$AF$8, IF(J41="Huyện Củ Chi", Ward!$AG$2:$AH$22, IF(J41="Quận Gò Vấp", Ward!$AI$2:$AJ$17, IF(J41="Huyện Hóc Môn", Ward!$AK$2:$AL$13, IF(J41="Huyện Nhà Bè", Ward!$AM$2:$AN$8, IF(J41="Quận Phú Nhuận", Ward!$AO$2:$AP$16, IF(J41="Quận Tân Bình", Ward!$AQ$2:$AR$16, IF(J41="Quận Tân Phú", Ward!$AS$2:$AT$12, IF(J41="Quận Thủ Đức", Ward!$AU$2:$AV$13)))))))))))))))))))))))), 2, FALSE), "")</f>
        <v>27310</v>
      </c>
      <c r="Y41" s="20">
        <f>IF(B41 &lt;&gt; "", VLOOKUP(B41, HospitalType!$A$2:$B$9, 2, FALSE), "")</f>
        <v>1</v>
      </c>
    </row>
    <row r="42" spans="1:25" s="47" customFormat="1" ht="75" x14ac:dyDescent="0.25">
      <c r="A42" s="40" t="s">
        <v>810</v>
      </c>
      <c r="B42" s="41" t="s">
        <v>311</v>
      </c>
      <c r="C42" s="24" t="s">
        <v>584</v>
      </c>
      <c r="D42" s="24" t="s">
        <v>584</v>
      </c>
      <c r="E42" s="41" t="b">
        <v>0</v>
      </c>
      <c r="F42" s="41"/>
      <c r="G42" s="42" t="s">
        <v>811</v>
      </c>
      <c r="H42" s="42" t="s">
        <v>812</v>
      </c>
      <c r="I42" s="42" t="s">
        <v>12</v>
      </c>
      <c r="J42" s="42" t="s">
        <v>327</v>
      </c>
      <c r="K42" s="42" t="s">
        <v>354</v>
      </c>
      <c r="L42" s="42" t="s">
        <v>813</v>
      </c>
      <c r="M42" s="42"/>
      <c r="N42" s="42"/>
      <c r="O42" s="42" t="s">
        <v>809</v>
      </c>
      <c r="P42" s="42" t="s">
        <v>814</v>
      </c>
      <c r="Q42" s="41" t="s">
        <v>815</v>
      </c>
      <c r="R42" s="43" t="s">
        <v>66</v>
      </c>
      <c r="S42" s="43" t="s">
        <v>1022</v>
      </c>
      <c r="T42" s="43" t="s">
        <v>1029</v>
      </c>
      <c r="U42" s="44" t="s">
        <v>1038</v>
      </c>
      <c r="V42" s="45">
        <f>IF(I42 &lt;&gt; "", VLOOKUP(I42, City!$A$1:$B$2, 2, FALSE), "" )</f>
        <v>79</v>
      </c>
      <c r="W42" s="45">
        <f>IF(J42 &lt;&gt; "", VLOOKUP(J42, District!$A$1:$B$25, 2, FALSE), "")</f>
        <v>760</v>
      </c>
      <c r="X42" s="46">
        <f>IF(K42 &lt;&gt; "", VLOOKUP(K42, IF(J42="Quận 1", Ward!$A$2:$B$11, IF(J42="Quận 2", Ward!$C$2:$D$12, IF(J42="Quận 3", Ward!$E$2:$F$15, IF(J42="Quận 4", Ward!$G$2:$H$16, IF(J42="Quận 5", Ward!$I$2:$J$16, IF(J42="Quận 6", Ward!$K$2:$L$15, IF(J42="Quận 7", Ward!$M$2:$N$11, IF(J42="Quận 8", Ward!$O$2:$P$17, IF(J42="Quận 9", Ward!$Q$2:$R$14, IF(J42="Quận 10", Ward!$S$2:$T$16, IF(J42="Quận 11", Ward!$U$2:$V$17, IF(J42="Quận 12", Ward!$W$2:$X$12, IF(J42="Huyện Bình Chánh", Ward!$Y$2:$Z$17, IF(J42="Quận Bình Tân", Ward!$AA$2:$AB$11, IF(J42="Quận Bình Thạnh", Ward!$AC$2:$AD$21, IF(J42="Huyện Cần Giờ", Ward!$AE$2:$AF$8, IF(J42="Huyện Củ Chi", Ward!$AG$2:$AH$22, IF(J42="Quận Gò Vấp", Ward!$AI$2:$AJ$17, IF(J42="Huyện Hóc Môn", Ward!$AK$2:$AL$13, IF(J42="Huyện Nhà Bè", Ward!$AM$2:$AN$8, IF(J42="Quận Phú Nhuận", Ward!$AO$2:$AP$16, IF(J42="Quận Tân Bình", Ward!$AQ$2:$AR$16, IF(J42="Quận Tân Phú", Ward!$AS$2:$AT$12, IF(J42="Quận Thủ Đức", Ward!$AU$2:$AV$13)))))))))))))))))))))))), 2, FALSE), "")</f>
        <v>26749</v>
      </c>
      <c r="Y42" s="45">
        <f>IF(B42 &lt;&gt; "", VLOOKUP(B42, HospitalType!$A$2:$B$9, 2, FALSE), "")</f>
        <v>3</v>
      </c>
    </row>
    <row r="43" spans="1:25" s="47" customFormat="1" ht="75" x14ac:dyDescent="0.25">
      <c r="A43" s="40" t="s">
        <v>816</v>
      </c>
      <c r="B43" s="41" t="s">
        <v>310</v>
      </c>
      <c r="C43" s="24" t="s">
        <v>603</v>
      </c>
      <c r="D43" s="24" t="s">
        <v>603</v>
      </c>
      <c r="E43" s="41" t="b">
        <v>0</v>
      </c>
      <c r="F43" s="41"/>
      <c r="G43" s="42" t="s">
        <v>817</v>
      </c>
      <c r="H43" s="42" t="s">
        <v>818</v>
      </c>
      <c r="I43" s="42" t="s">
        <v>12</v>
      </c>
      <c r="J43" s="42" t="s">
        <v>327</v>
      </c>
      <c r="K43" s="42" t="s">
        <v>354</v>
      </c>
      <c r="L43" s="42" t="s">
        <v>819</v>
      </c>
      <c r="M43" s="42"/>
      <c r="N43" s="42"/>
      <c r="O43" s="42" t="s">
        <v>820</v>
      </c>
      <c r="P43" s="42"/>
      <c r="Q43" s="41"/>
      <c r="R43" s="43" t="s">
        <v>66</v>
      </c>
      <c r="S43" s="43" t="s">
        <v>1021</v>
      </c>
      <c r="T43" s="43" t="s">
        <v>1029</v>
      </c>
      <c r="U43" s="44" t="s">
        <v>1160</v>
      </c>
      <c r="V43" s="45">
        <f>IF(I43 &lt;&gt; "", VLOOKUP(I43, City!$A$1:$B$2, 2, FALSE), "" )</f>
        <v>79</v>
      </c>
      <c r="W43" s="45">
        <f>IF(J43 &lt;&gt; "", VLOOKUP(J43, District!$A$1:$B$25, 2, FALSE), "")</f>
        <v>760</v>
      </c>
      <c r="X43" s="46">
        <f>IF(K43 &lt;&gt; "", VLOOKUP(K43, IF(J43="Quận 1", Ward!$A$2:$B$11, IF(J43="Quận 2", Ward!$C$2:$D$12, IF(J43="Quận 3", Ward!$E$2:$F$15, IF(J43="Quận 4", Ward!$G$2:$H$16, IF(J43="Quận 5", Ward!$I$2:$J$16, IF(J43="Quận 6", Ward!$K$2:$L$15, IF(J43="Quận 7", Ward!$M$2:$N$11, IF(J43="Quận 8", Ward!$O$2:$P$17, IF(J43="Quận 9", Ward!$Q$2:$R$14, IF(J43="Quận 10", Ward!$S$2:$T$16, IF(J43="Quận 11", Ward!$U$2:$V$17, IF(J43="Quận 12", Ward!$W$2:$X$12, IF(J43="Huyện Bình Chánh", Ward!$Y$2:$Z$17, IF(J43="Quận Bình Tân", Ward!$AA$2:$AB$11, IF(J43="Quận Bình Thạnh", Ward!$AC$2:$AD$21, IF(J43="Huyện Cần Giờ", Ward!$AE$2:$AF$8, IF(J43="Huyện Củ Chi", Ward!$AG$2:$AH$22, IF(J43="Quận Gò Vấp", Ward!$AI$2:$AJ$17, IF(J43="Huyện Hóc Môn", Ward!$AK$2:$AL$13, IF(J43="Huyện Nhà Bè", Ward!$AM$2:$AN$8, IF(J43="Quận Phú Nhuận", Ward!$AO$2:$AP$16, IF(J43="Quận Tân Bình", Ward!$AQ$2:$AR$16, IF(J43="Quận Tân Phú", Ward!$AS$2:$AT$12, IF(J43="Quận Thủ Đức", Ward!$AU$2:$AV$13)))))))))))))))))))))))), 2, FALSE), "")</f>
        <v>26749</v>
      </c>
      <c r="Y43" s="45">
        <f>IF(B43 &lt;&gt; "", VLOOKUP(B43, HospitalType!$A$2:$B$9, 2, FALSE), "")</f>
        <v>1</v>
      </c>
    </row>
    <row r="44" spans="1:25" s="47" customFormat="1" ht="60" x14ac:dyDescent="0.25">
      <c r="A44" s="40" t="s">
        <v>821</v>
      </c>
      <c r="B44" s="41" t="s">
        <v>310</v>
      </c>
      <c r="C44" s="33" t="s">
        <v>613</v>
      </c>
      <c r="D44" s="33" t="s">
        <v>614</v>
      </c>
      <c r="E44" s="41" t="b">
        <v>0</v>
      </c>
      <c r="F44" s="41"/>
      <c r="G44" s="42" t="s">
        <v>822</v>
      </c>
      <c r="H44" s="42" t="s">
        <v>728</v>
      </c>
      <c r="I44" s="42" t="s">
        <v>12</v>
      </c>
      <c r="J44" s="42" t="s">
        <v>334</v>
      </c>
      <c r="K44" s="42" t="s">
        <v>378</v>
      </c>
      <c r="L44" s="42" t="s">
        <v>823</v>
      </c>
      <c r="M44" s="42"/>
      <c r="N44" s="42"/>
      <c r="O44" s="42" t="s">
        <v>824</v>
      </c>
      <c r="P44" s="42"/>
      <c r="Q44" s="41"/>
      <c r="R44" s="43" t="s">
        <v>66</v>
      </c>
      <c r="S44" s="43" t="s">
        <v>269</v>
      </c>
      <c r="T44" s="43" t="s">
        <v>1029</v>
      </c>
      <c r="U44" s="44" t="s">
        <v>1037</v>
      </c>
      <c r="V44" s="45">
        <f>IF(I44 &lt;&gt; "", VLOOKUP(I44, City!$A$1:$B$2, 2, FALSE), "" )</f>
        <v>79</v>
      </c>
      <c r="W44" s="45">
        <f>IF(J44 &lt;&gt; "", VLOOKUP(J44, District!$A$1:$B$25, 2, FALSE), "")</f>
        <v>774</v>
      </c>
      <c r="X44" s="46" t="str">
        <f>IF(K44 &lt;&gt; "", VLOOKUP(K44, IF(J44="Quận 1", Ward!$A$2:$B$11, IF(J44="Quận 2", Ward!$C$2:$D$12, IF(J44="Quận 3", Ward!$E$2:$F$15, IF(J44="Quận 4", Ward!$G$2:$H$16, IF(J44="Quận 5", Ward!$I$2:$J$16, IF(J44="Quận 6", Ward!$K$2:$L$15, IF(J44="Quận 7", Ward!$M$2:$N$11, IF(J44="Quận 8", Ward!$O$2:$P$17, IF(J44="Quận 9", Ward!$Q$2:$R$14, IF(J44="Quận 10", Ward!$S$2:$T$16, IF(J44="Quận 11", Ward!$U$2:$V$17, IF(J44="Quận 12", Ward!$W$2:$X$12, IF(J44="Huyện Bình Chánh", Ward!$Y$2:$Z$17, IF(J44="Quận Bình Tân", Ward!$AA$2:$AB$11, IF(J44="Quận Bình Thạnh", Ward!$AC$2:$AD$21, IF(J44="Huyện Cần Giờ", Ward!$AE$2:$AF$8, IF(J44="Huyện Củ Chi", Ward!$AG$2:$AH$22, IF(J44="Quận Gò Vấp", Ward!$AI$2:$AJ$17, IF(J44="Huyện Hóc Môn", Ward!$AK$2:$AL$13, IF(J44="Huyện Nhà Bè", Ward!$AM$2:$AN$8, IF(J44="Quận Phú Nhuận", Ward!$AO$2:$AP$16, IF(J44="Quận Tân Bình", Ward!$AQ$2:$AR$16, IF(J44="Quận Tân Phú", Ward!$AS$2:$AT$12, IF(J44="Quận Thủ Đức", Ward!$AU$2:$AV$13)))))))))))))))))))))))), 2, FALSE), "")</f>
        <v>27310</v>
      </c>
      <c r="Y44" s="45">
        <f>IF(B44 &lt;&gt; "", VLOOKUP(B44, HospitalType!$A$2:$B$9, 2, FALSE), "")</f>
        <v>1</v>
      </c>
    </row>
    <row r="45" spans="1:25" s="47" customFormat="1" ht="75" x14ac:dyDescent="0.25">
      <c r="A45" s="40" t="s">
        <v>831</v>
      </c>
      <c r="B45" s="41" t="s">
        <v>311</v>
      </c>
      <c r="C45" s="33" t="s">
        <v>613</v>
      </c>
      <c r="D45" s="33" t="s">
        <v>614</v>
      </c>
      <c r="E45" s="41" t="b">
        <v>0</v>
      </c>
      <c r="F45" s="41"/>
      <c r="G45" s="42" t="s">
        <v>825</v>
      </c>
      <c r="H45" s="42" t="s">
        <v>826</v>
      </c>
      <c r="I45" s="42" t="s">
        <v>12</v>
      </c>
      <c r="J45" s="42" t="s">
        <v>327</v>
      </c>
      <c r="K45" s="42" t="s">
        <v>347</v>
      </c>
      <c r="L45" s="42" t="s">
        <v>827</v>
      </c>
      <c r="M45" s="42"/>
      <c r="N45" s="42"/>
      <c r="O45" s="42" t="s">
        <v>828</v>
      </c>
      <c r="P45" s="42" t="s">
        <v>830</v>
      </c>
      <c r="Q45" s="41" t="s">
        <v>829</v>
      </c>
      <c r="R45" s="43" t="s">
        <v>66</v>
      </c>
      <c r="S45" s="43" t="s">
        <v>1020</v>
      </c>
      <c r="T45" s="43" t="s">
        <v>1029</v>
      </c>
      <c r="U45" s="44" t="s">
        <v>1036</v>
      </c>
      <c r="V45" s="45">
        <f>IF(I45 &lt;&gt; "", VLOOKUP(I45, City!$A$1:$B$2, 2, FALSE), "" )</f>
        <v>79</v>
      </c>
      <c r="W45" s="45">
        <f>IF(J45 &lt;&gt; "", VLOOKUP(J45, District!$A$1:$B$25, 2, FALSE), "")</f>
        <v>760</v>
      </c>
      <c r="X45" s="46">
        <f>IF(K45 &lt;&gt; "", VLOOKUP(K45, IF(J45="Quận 1", Ward!$A$2:$B$11, IF(J45="Quận 2", Ward!$C$2:$D$12, IF(J45="Quận 3", Ward!$E$2:$F$15, IF(J45="Quận 4", Ward!$G$2:$H$16, IF(J45="Quận 5", Ward!$I$2:$J$16, IF(J45="Quận 6", Ward!$K$2:$L$15, IF(J45="Quận 7", Ward!$M$2:$N$11, IF(J45="Quận 8", Ward!$O$2:$P$17, IF(J45="Quận 9", Ward!$Q$2:$R$14, IF(J45="Quận 10", Ward!$S$2:$T$16, IF(J45="Quận 11", Ward!$U$2:$V$17, IF(J45="Quận 12", Ward!$W$2:$X$12, IF(J45="Huyện Bình Chánh", Ward!$Y$2:$Z$17, IF(J45="Quận Bình Tân", Ward!$AA$2:$AB$11, IF(J45="Quận Bình Thạnh", Ward!$AC$2:$AD$21, IF(J45="Huyện Cần Giờ", Ward!$AE$2:$AF$8, IF(J45="Huyện Củ Chi", Ward!$AG$2:$AH$22, IF(J45="Quận Gò Vấp", Ward!$AI$2:$AJ$17, IF(J45="Huyện Hóc Môn", Ward!$AK$2:$AL$13, IF(J45="Huyện Nhà Bè", Ward!$AM$2:$AN$8, IF(J45="Quận Phú Nhuận", Ward!$AO$2:$AP$16, IF(J45="Quận Tân Bình", Ward!$AQ$2:$AR$16, IF(J45="Quận Tân Phú", Ward!$AS$2:$AT$12, IF(J45="Quận Thủ Đức", Ward!$AU$2:$AV$13)))))))))))))))))))))))), 2, FALSE), "")</f>
        <v>26743</v>
      </c>
      <c r="Y45" s="45">
        <f>IF(B45 &lt;&gt; "", VLOOKUP(B45, HospitalType!$A$2:$B$9, 2, FALSE), "")</f>
        <v>3</v>
      </c>
    </row>
    <row r="46" spans="1:25" ht="45" x14ac:dyDescent="0.25">
      <c r="A46" s="34" t="s">
        <v>832</v>
      </c>
      <c r="B46" s="24" t="s">
        <v>310</v>
      </c>
      <c r="C46" s="24" t="s">
        <v>631</v>
      </c>
      <c r="D46" s="24" t="s">
        <v>632</v>
      </c>
      <c r="E46" s="24" t="b">
        <v>0</v>
      </c>
      <c r="F46" s="24"/>
      <c r="G46" s="25" t="s">
        <v>15</v>
      </c>
      <c r="H46" s="25" t="s">
        <v>598</v>
      </c>
      <c r="I46" s="25" t="s">
        <v>12</v>
      </c>
      <c r="J46" s="25" t="s">
        <v>340</v>
      </c>
      <c r="K46" s="25" t="s">
        <v>373</v>
      </c>
      <c r="L46" s="25" t="s">
        <v>833</v>
      </c>
      <c r="M46" s="25"/>
      <c r="N46" s="25"/>
      <c r="O46" s="25" t="s">
        <v>834</v>
      </c>
      <c r="P46" s="25" t="s">
        <v>835</v>
      </c>
      <c r="Q46" s="24"/>
      <c r="R46" s="26" t="s">
        <v>1015</v>
      </c>
      <c r="S46" s="26" t="s">
        <v>1023</v>
      </c>
      <c r="T46" s="26" t="s">
        <v>1028</v>
      </c>
      <c r="U46" s="27" t="s">
        <v>1039</v>
      </c>
      <c r="V46" s="20">
        <f>IF(I46 &lt;&gt; "", VLOOKUP(I46, City!$A$1:$B$2, 2, FALSE), "" )</f>
        <v>79</v>
      </c>
      <c r="W46" s="20">
        <f>IF(J46 &lt;&gt; "", VLOOKUP(J46, District!$A$1:$B$25, 2, FALSE), "")</f>
        <v>765</v>
      </c>
      <c r="X46" s="21" t="str">
        <f>IF(K46 &lt;&gt; "", VLOOKUP(K46, IF(J46="Quận 1", Ward!$A$2:$B$11, IF(J46="Quận 2", Ward!$C$2:$D$12, IF(J46="Quận 3", Ward!$E$2:$F$15, IF(J46="Quận 4", Ward!$G$2:$H$16, IF(J46="Quận 5", Ward!$I$2:$J$16, IF(J46="Quận 6", Ward!$K$2:$L$15, IF(J46="Quận 7", Ward!$M$2:$N$11, IF(J46="Quận 8", Ward!$O$2:$P$17, IF(J46="Quận 9", Ward!$Q$2:$R$14, IF(J46="Quận 10", Ward!$S$2:$T$16, IF(J46="Quận 11", Ward!$U$2:$V$17, IF(J46="Quận 12", Ward!$W$2:$X$12, IF(J46="Huyện Bình Chánh", Ward!$Y$2:$Z$17, IF(J46="Quận Bình Tân", Ward!$AA$2:$AB$11, IF(J46="Quận Bình Thạnh", Ward!$AC$2:$AD$21, IF(J46="Huyện Cần Giờ", Ward!$AE$2:$AF$8, IF(J46="Huyện Củ Chi", Ward!$AG$2:$AH$22, IF(J46="Quận Gò Vấp", Ward!$AI$2:$AJ$17, IF(J46="Huyện Hóc Môn", Ward!$AK$2:$AL$13, IF(J46="Huyện Nhà Bè", Ward!$AM$2:$AN$8, IF(J46="Quận Phú Nhuận", Ward!$AO$2:$AP$16, IF(J46="Quận Tân Bình", Ward!$AQ$2:$AR$16, IF(J46="Quận Tân Phú", Ward!$AS$2:$AT$12, IF(J46="Quận Thủ Đức", Ward!$AU$2:$AV$13)))))))))))))))))))))))), 2, FALSE), "")</f>
        <v>26926</v>
      </c>
      <c r="Y46" s="20">
        <f>IF(B46 &lt;&gt; "", VLOOKUP(B46, HospitalType!$A$2:$B$9, 2, FALSE), "")</f>
        <v>1</v>
      </c>
    </row>
    <row r="47" spans="1:25" ht="45" x14ac:dyDescent="0.25">
      <c r="A47" s="34" t="s">
        <v>836</v>
      </c>
      <c r="B47" s="24" t="s">
        <v>310</v>
      </c>
      <c r="C47" s="24" t="s">
        <v>640</v>
      </c>
      <c r="D47" s="24" t="s">
        <v>640</v>
      </c>
      <c r="E47" s="24" t="b">
        <v>0</v>
      </c>
      <c r="F47" s="24"/>
      <c r="G47" s="25" t="s">
        <v>837</v>
      </c>
      <c r="H47" s="25" t="s">
        <v>838</v>
      </c>
      <c r="I47" s="25" t="s">
        <v>12</v>
      </c>
      <c r="J47" s="25" t="s">
        <v>332</v>
      </c>
      <c r="K47" s="25" t="s">
        <v>373</v>
      </c>
      <c r="L47" s="25" t="s">
        <v>839</v>
      </c>
      <c r="M47" s="25"/>
      <c r="N47" s="25"/>
      <c r="O47" s="25"/>
      <c r="P47" s="25"/>
      <c r="Q47" s="24"/>
      <c r="R47" s="26" t="s">
        <v>82</v>
      </c>
      <c r="S47" s="26" t="s">
        <v>1024</v>
      </c>
      <c r="T47" s="26" t="s">
        <v>1028</v>
      </c>
      <c r="U47" s="27" t="s">
        <v>1040</v>
      </c>
      <c r="V47" s="20">
        <f>IF(I47 &lt;&gt; "", VLOOKUP(I47, City!$A$1:$B$2, 2, FALSE), "" )</f>
        <v>79</v>
      </c>
      <c r="W47" s="20">
        <f>IF(J47 &lt;&gt; "", VLOOKUP(J47, District!$A$1:$B$25, 2, FALSE), "")</f>
        <v>770</v>
      </c>
      <c r="X47" s="21" t="str">
        <f>IF(K47 &lt;&gt; "", VLOOKUP(K47, IF(J47="Quận 1", Ward!$A$2:$B$11, IF(J47="Quận 2", Ward!$C$2:$D$12, IF(J47="Quận 3", Ward!$E$2:$F$15, IF(J47="Quận 4", Ward!$G$2:$H$16, IF(J47="Quận 5", Ward!$I$2:$J$16, IF(J47="Quận 6", Ward!$K$2:$L$15, IF(J47="Quận 7", Ward!$M$2:$N$11, IF(J47="Quận 8", Ward!$O$2:$P$17, IF(J47="Quận 9", Ward!$Q$2:$R$14, IF(J47="Quận 10", Ward!$S$2:$T$16, IF(J47="Quận 11", Ward!$U$2:$V$17, IF(J47="Quận 12", Ward!$W$2:$X$12, IF(J47="Huyện Bình Chánh", Ward!$Y$2:$Z$17, IF(J47="Quận Bình Tân", Ward!$AA$2:$AB$11, IF(J47="Quận Bình Thạnh", Ward!$AC$2:$AD$21, IF(J47="Huyện Cần Giờ", Ward!$AE$2:$AF$8, IF(J47="Huyện Củ Chi", Ward!$AG$2:$AH$22, IF(J47="Quận Gò Vấp", Ward!$AI$2:$AJ$17, IF(J47="Huyện Hóc Môn", Ward!$AK$2:$AL$13, IF(J47="Huyện Nhà Bè", Ward!$AM$2:$AN$8, IF(J47="Quận Phú Nhuận", Ward!$AO$2:$AP$16, IF(J47="Quận Tân Bình", Ward!$AQ$2:$AR$16, IF(J47="Quận Tân Phú", Ward!$AS$2:$AT$12, IF(J47="Quận Thủ Đức", Ward!$AU$2:$AV$13)))))))))))))))))))))))), 2, FALSE), "")</f>
        <v>27124</v>
      </c>
      <c r="Y47" s="20">
        <f>IF(B47 &lt;&gt; "", VLOOKUP(B47, HospitalType!$A$2:$B$9, 2, FALSE), "")</f>
        <v>1</v>
      </c>
    </row>
    <row r="48" spans="1:25" ht="45" x14ac:dyDescent="0.25">
      <c r="A48" s="34" t="s">
        <v>840</v>
      </c>
      <c r="B48" s="24" t="s">
        <v>310</v>
      </c>
      <c r="C48" s="24" t="s">
        <v>653</v>
      </c>
      <c r="D48" s="24" t="s">
        <v>653</v>
      </c>
      <c r="E48" s="24" t="b">
        <v>0</v>
      </c>
      <c r="F48" s="24"/>
      <c r="G48" s="25" t="s">
        <v>14</v>
      </c>
      <c r="H48" s="25" t="s">
        <v>841</v>
      </c>
      <c r="I48" s="25" t="s">
        <v>12</v>
      </c>
      <c r="J48" s="25" t="s">
        <v>332</v>
      </c>
      <c r="K48" s="25" t="s">
        <v>372</v>
      </c>
      <c r="L48" s="25" t="s">
        <v>842</v>
      </c>
      <c r="M48" s="25"/>
      <c r="N48" s="25"/>
      <c r="O48" s="25" t="s">
        <v>843</v>
      </c>
      <c r="P48" s="25"/>
      <c r="Q48" s="24"/>
      <c r="R48" s="26" t="s">
        <v>39</v>
      </c>
      <c r="S48" s="26" t="s">
        <v>1024</v>
      </c>
      <c r="T48" s="26" t="s">
        <v>1028</v>
      </c>
      <c r="U48" s="27" t="s">
        <v>1041</v>
      </c>
      <c r="V48" s="20">
        <f>IF(I48 &lt;&gt; "", VLOOKUP(I48, City!$A$1:$B$2, 2, FALSE), "" )</f>
        <v>79</v>
      </c>
      <c r="W48" s="20">
        <f>IF(J48 &lt;&gt; "", VLOOKUP(J48, District!$A$1:$B$25, 2, FALSE), "")</f>
        <v>770</v>
      </c>
      <c r="X48" s="21" t="str">
        <f>IF(K48 &lt;&gt; "", VLOOKUP(K48, IF(J48="Quận 1", Ward!$A$2:$B$11, IF(J48="Quận 2", Ward!$C$2:$D$12, IF(J48="Quận 3", Ward!$E$2:$F$15, IF(J48="Quận 4", Ward!$G$2:$H$16, IF(J48="Quận 5", Ward!$I$2:$J$16, IF(J48="Quận 6", Ward!$K$2:$L$15, IF(J48="Quận 7", Ward!$M$2:$N$11, IF(J48="Quận 8", Ward!$O$2:$P$17, IF(J48="Quận 9", Ward!$Q$2:$R$14, IF(J48="Quận 10", Ward!$S$2:$T$16, IF(J48="Quận 11", Ward!$U$2:$V$17, IF(J48="Quận 12", Ward!$W$2:$X$12, IF(J48="Huyện Bình Chánh", Ward!$Y$2:$Z$17, IF(J48="Quận Bình Tân", Ward!$AA$2:$AB$11, IF(J48="Quận Bình Thạnh", Ward!$AC$2:$AD$21, IF(J48="Huyện Cần Giờ", Ward!$AE$2:$AF$8, IF(J48="Huyện Củ Chi", Ward!$AG$2:$AH$22, IF(J48="Quận Gò Vấp", Ward!$AI$2:$AJ$17, IF(J48="Huyện Hóc Môn", Ward!$AK$2:$AL$13, IF(J48="Huyện Nhà Bè", Ward!$AM$2:$AN$8, IF(J48="Quận Phú Nhuận", Ward!$AO$2:$AP$16, IF(J48="Quận Tân Bình", Ward!$AQ$2:$AR$16, IF(J48="Quận Tân Phú", Ward!$AS$2:$AT$12, IF(J48="Quận Thủ Đức", Ward!$AU$2:$AV$13)))))))))))))))))))))))), 2, FALSE), "")</f>
        <v>27139</v>
      </c>
      <c r="Y48" s="20">
        <f>IF(B48 &lt;&gt; "", VLOOKUP(B48, HospitalType!$A$2:$B$9, 2, FALSE), "")</f>
        <v>1</v>
      </c>
    </row>
    <row r="49" spans="1:25" x14ac:dyDescent="0.25">
      <c r="A49" s="34" t="s">
        <v>844</v>
      </c>
      <c r="B49" s="24" t="s">
        <v>316</v>
      </c>
      <c r="C49" s="24" t="s">
        <v>664</v>
      </c>
      <c r="D49" s="24" t="s">
        <v>664</v>
      </c>
      <c r="E49" s="24" t="b">
        <v>0</v>
      </c>
      <c r="F49" s="24"/>
      <c r="G49" s="25" t="s">
        <v>845</v>
      </c>
      <c r="H49" s="25" t="s">
        <v>846</v>
      </c>
      <c r="I49" s="25" t="s">
        <v>12</v>
      </c>
      <c r="J49" s="25" t="s">
        <v>327</v>
      </c>
      <c r="K49" s="25" t="s">
        <v>347</v>
      </c>
      <c r="L49" s="25" t="s">
        <v>847</v>
      </c>
      <c r="M49" s="25"/>
      <c r="N49" s="25"/>
      <c r="O49" s="25"/>
      <c r="P49" s="25"/>
      <c r="Q49" s="24" t="s">
        <v>848</v>
      </c>
      <c r="R49" s="26" t="s">
        <v>53</v>
      </c>
      <c r="S49" s="26"/>
      <c r="T49" s="26"/>
      <c r="U49" s="27"/>
      <c r="V49" s="20">
        <f>IF(I49 &lt;&gt; "", VLOOKUP(I49, City!$A$1:$B$2, 2, FALSE), "" )</f>
        <v>79</v>
      </c>
      <c r="W49" s="20">
        <f>IF(J49 &lt;&gt; "", VLOOKUP(J49, District!$A$1:$B$25, 2, FALSE), "")</f>
        <v>760</v>
      </c>
      <c r="X49" s="21">
        <f>IF(K49 &lt;&gt; "", VLOOKUP(K49, IF(J49="Quận 1", Ward!$A$2:$B$11, IF(J49="Quận 2", Ward!$C$2:$D$12, IF(J49="Quận 3", Ward!$E$2:$F$15, IF(J49="Quận 4", Ward!$G$2:$H$16, IF(J49="Quận 5", Ward!$I$2:$J$16, IF(J49="Quận 6", Ward!$K$2:$L$15, IF(J49="Quận 7", Ward!$M$2:$N$11, IF(J49="Quận 8", Ward!$O$2:$P$17, IF(J49="Quận 9", Ward!$Q$2:$R$14, IF(J49="Quận 10", Ward!$S$2:$T$16, IF(J49="Quận 11", Ward!$U$2:$V$17, IF(J49="Quận 12", Ward!$W$2:$X$12, IF(J49="Huyện Bình Chánh", Ward!$Y$2:$Z$17, IF(J49="Quận Bình Tân", Ward!$AA$2:$AB$11, IF(J49="Quận Bình Thạnh", Ward!$AC$2:$AD$21, IF(J49="Huyện Cần Giờ", Ward!$AE$2:$AF$8, IF(J49="Huyện Củ Chi", Ward!$AG$2:$AH$22, IF(J49="Quận Gò Vấp", Ward!$AI$2:$AJ$17, IF(J49="Huyện Hóc Môn", Ward!$AK$2:$AL$13, IF(J49="Huyện Nhà Bè", Ward!$AM$2:$AN$8, IF(J49="Quận Phú Nhuận", Ward!$AO$2:$AP$16, IF(J49="Quận Tân Bình", Ward!$AQ$2:$AR$16, IF(J49="Quận Tân Phú", Ward!$AS$2:$AT$12, IF(J49="Quận Thủ Đức", Ward!$AU$2:$AV$13)))))))))))))))))))))))), 2, FALSE), "")</f>
        <v>26743</v>
      </c>
      <c r="Y49" s="20">
        <f>IF(B49 &lt;&gt; "", VLOOKUP(B49, HospitalType!$A$2:$B$9, 2, FALSE), "")</f>
        <v>4</v>
      </c>
    </row>
    <row r="50" spans="1:25" s="47" customFormat="1" ht="45" x14ac:dyDescent="0.25">
      <c r="A50" s="40" t="s">
        <v>849</v>
      </c>
      <c r="B50" s="41" t="s">
        <v>310</v>
      </c>
      <c r="C50" s="24" t="s">
        <v>553</v>
      </c>
      <c r="D50" s="24" t="s">
        <v>553</v>
      </c>
      <c r="E50" s="41" t="b">
        <v>0</v>
      </c>
      <c r="F50" s="41"/>
      <c r="G50" s="42" t="s">
        <v>850</v>
      </c>
      <c r="H50" s="42" t="s">
        <v>642</v>
      </c>
      <c r="I50" s="42" t="s">
        <v>12</v>
      </c>
      <c r="J50" s="42" t="s">
        <v>327</v>
      </c>
      <c r="K50" s="42" t="s">
        <v>350</v>
      </c>
      <c r="L50" s="42" t="s">
        <v>851</v>
      </c>
      <c r="M50" s="42"/>
      <c r="N50" s="42"/>
      <c r="O50" s="42" t="s">
        <v>852</v>
      </c>
      <c r="P50" s="42" t="s">
        <v>853</v>
      </c>
      <c r="Q50" s="41" t="s">
        <v>854</v>
      </c>
      <c r="R50" s="43" t="s">
        <v>53</v>
      </c>
      <c r="S50" s="43"/>
      <c r="T50" s="43"/>
      <c r="U50" s="44" t="s">
        <v>1046</v>
      </c>
      <c r="V50" s="45">
        <f>IF(I50 &lt;&gt; "", VLOOKUP(I50, City!$A$1:$B$2, 2, FALSE), "" )</f>
        <v>79</v>
      </c>
      <c r="W50" s="45">
        <f>IF(J50 &lt;&gt; "", VLOOKUP(J50, District!$A$1:$B$25, 2, FALSE), "")</f>
        <v>760</v>
      </c>
      <c r="X50" s="46">
        <f>IF(K50 &lt;&gt; "", VLOOKUP(K50, IF(J50="Quận 1", Ward!$A$2:$B$11, IF(J50="Quận 2", Ward!$C$2:$D$12, IF(J50="Quận 3", Ward!$E$2:$F$15, IF(J50="Quận 4", Ward!$G$2:$H$16, IF(J50="Quận 5", Ward!$I$2:$J$16, IF(J50="Quận 6", Ward!$K$2:$L$15, IF(J50="Quận 7", Ward!$M$2:$N$11, IF(J50="Quận 8", Ward!$O$2:$P$17, IF(J50="Quận 9", Ward!$Q$2:$R$14, IF(J50="Quận 10", Ward!$S$2:$T$16, IF(J50="Quận 11", Ward!$U$2:$V$17, IF(J50="Quận 12", Ward!$W$2:$X$12, IF(J50="Huyện Bình Chánh", Ward!$Y$2:$Z$17, IF(J50="Quận Bình Tân", Ward!$AA$2:$AB$11, IF(J50="Quận Bình Thạnh", Ward!$AC$2:$AD$21, IF(J50="Huyện Cần Giờ", Ward!$AE$2:$AF$8, IF(J50="Huyện Củ Chi", Ward!$AG$2:$AH$22, IF(J50="Quận Gò Vấp", Ward!$AI$2:$AJ$17, IF(J50="Huyện Hóc Môn", Ward!$AK$2:$AL$13, IF(J50="Huyện Nhà Bè", Ward!$AM$2:$AN$8, IF(J50="Quận Phú Nhuận", Ward!$AO$2:$AP$16, IF(J50="Quận Tân Bình", Ward!$AQ$2:$AR$16, IF(J50="Quận Tân Phú", Ward!$AS$2:$AT$12, IF(J50="Quận Thủ Đức", Ward!$AU$2:$AV$13)))))))))))))))))))))))), 2, FALSE), "")</f>
        <v>26755</v>
      </c>
      <c r="Y50" s="45">
        <f>IF(B50 &lt;&gt; "", VLOOKUP(B50, HospitalType!$A$2:$B$9, 2, FALSE), "")</f>
        <v>1</v>
      </c>
    </row>
    <row r="51" spans="1:25" s="47" customFormat="1" ht="45" x14ac:dyDescent="0.25">
      <c r="A51" s="40" t="s">
        <v>855</v>
      </c>
      <c r="B51" s="41" t="s">
        <v>310</v>
      </c>
      <c r="C51" s="33" t="s">
        <v>652</v>
      </c>
      <c r="D51" s="33" t="s">
        <v>652</v>
      </c>
      <c r="E51" s="41" t="b">
        <v>0</v>
      </c>
      <c r="F51" s="41"/>
      <c r="G51" s="42" t="s">
        <v>856</v>
      </c>
      <c r="H51" s="42" t="s">
        <v>702</v>
      </c>
      <c r="I51" s="42" t="s">
        <v>12</v>
      </c>
      <c r="J51" s="42" t="s">
        <v>334</v>
      </c>
      <c r="K51" s="42" t="s">
        <v>377</v>
      </c>
      <c r="L51" s="42" t="s">
        <v>857</v>
      </c>
      <c r="M51" s="42" t="s">
        <v>858</v>
      </c>
      <c r="N51" s="42"/>
      <c r="O51" s="45" t="s">
        <v>941</v>
      </c>
      <c r="P51" s="42"/>
      <c r="Q51" s="41" t="s">
        <v>859</v>
      </c>
      <c r="R51" s="43" t="s">
        <v>53</v>
      </c>
      <c r="S51" s="43"/>
      <c r="T51" s="43"/>
      <c r="U51" s="44" t="s">
        <v>1046</v>
      </c>
      <c r="V51" s="45">
        <f>IF(I51 &lt;&gt; "", VLOOKUP(I51, City!$A$1:$B$2, 2, FALSE), "" )</f>
        <v>79</v>
      </c>
      <c r="W51" s="45">
        <f>IF(J51 &lt;&gt; "", VLOOKUP(J51, District!$A$1:$B$25, 2, FALSE), "")</f>
        <v>774</v>
      </c>
      <c r="X51" s="46" t="str">
        <f>IF(K51 &lt;&gt; "", VLOOKUP(K51, IF(J51="Quận 1", Ward!$A$2:$B$11, IF(J51="Quận 2", Ward!$C$2:$D$12, IF(J51="Quận 3", Ward!$E$2:$F$15, IF(J51="Quận 4", Ward!$G$2:$H$16, IF(J51="Quận 5", Ward!$I$2:$J$16, IF(J51="Quận 6", Ward!$K$2:$L$15, IF(J51="Quận 7", Ward!$M$2:$N$11, IF(J51="Quận 8", Ward!$O$2:$P$17, IF(J51="Quận 9", Ward!$Q$2:$R$14, IF(J51="Quận 10", Ward!$S$2:$T$16, IF(J51="Quận 11", Ward!$U$2:$V$17, IF(J51="Quận 12", Ward!$W$2:$X$12, IF(J51="Huyện Bình Chánh", Ward!$Y$2:$Z$17, IF(J51="Quận Bình Tân", Ward!$AA$2:$AB$11, IF(J51="Quận Bình Thạnh", Ward!$AC$2:$AD$21, IF(J51="Huyện Cần Giờ", Ward!$AE$2:$AF$8, IF(J51="Huyện Củ Chi", Ward!$AG$2:$AH$22, IF(J51="Quận Gò Vấp", Ward!$AI$2:$AJ$17, IF(J51="Huyện Hóc Môn", Ward!$AK$2:$AL$13, IF(J51="Huyện Nhà Bè", Ward!$AM$2:$AN$8, IF(J51="Quận Phú Nhuận", Ward!$AO$2:$AP$16, IF(J51="Quận Tân Bình", Ward!$AQ$2:$AR$16, IF(J51="Quận Tân Phú", Ward!$AS$2:$AT$12, IF(J51="Quận Thủ Đức", Ward!$AU$2:$AV$13)))))))))))))))))))))))), 2, FALSE), "")</f>
        <v>27328</v>
      </c>
      <c r="Y51" s="45">
        <f>IF(B51 &lt;&gt; "", VLOOKUP(B51, HospitalType!$A$2:$B$9, 2, FALSE), "")</f>
        <v>1</v>
      </c>
    </row>
    <row r="52" spans="1:25" s="47" customFormat="1" x14ac:dyDescent="0.25">
      <c r="A52" s="40" t="s">
        <v>860</v>
      </c>
      <c r="B52" s="41" t="s">
        <v>316</v>
      </c>
      <c r="C52" s="33" t="s">
        <v>691</v>
      </c>
      <c r="D52" s="33" t="s">
        <v>691</v>
      </c>
      <c r="E52" s="41" t="b">
        <v>0</v>
      </c>
      <c r="F52" s="41"/>
      <c r="G52" s="42" t="s">
        <v>861</v>
      </c>
      <c r="H52" s="42" t="s">
        <v>862</v>
      </c>
      <c r="I52" s="42" t="s">
        <v>12</v>
      </c>
      <c r="J52" s="42" t="s">
        <v>327</v>
      </c>
      <c r="K52" s="42" t="s">
        <v>346</v>
      </c>
      <c r="L52" s="42" t="s">
        <v>863</v>
      </c>
      <c r="M52" s="42"/>
      <c r="N52" s="42"/>
      <c r="O52" s="42" t="s">
        <v>864</v>
      </c>
      <c r="P52" s="42" t="s">
        <v>865</v>
      </c>
      <c r="Q52" s="41" t="s">
        <v>866</v>
      </c>
      <c r="R52" s="43" t="s">
        <v>53</v>
      </c>
      <c r="S52" s="43"/>
      <c r="T52" s="43"/>
      <c r="U52" s="44"/>
      <c r="V52" s="45">
        <f>IF(I52 &lt;&gt; "", VLOOKUP(I52, City!$A$1:$B$2, 2, FALSE), "" )</f>
        <v>79</v>
      </c>
      <c r="W52" s="45">
        <f>IF(J52 &lt;&gt; "", VLOOKUP(J52, District!$A$1:$B$25, 2, FALSE), "")</f>
        <v>760</v>
      </c>
      <c r="X52" s="46">
        <f>IF(K52 &lt;&gt; "", VLOOKUP(K52, IF(J52="Quận 1", Ward!$A$2:$B$11, IF(J52="Quận 2", Ward!$C$2:$D$12, IF(J52="Quận 3", Ward!$E$2:$F$15, IF(J52="Quận 4", Ward!$G$2:$H$16, IF(J52="Quận 5", Ward!$I$2:$J$16, IF(J52="Quận 6", Ward!$K$2:$L$15, IF(J52="Quận 7", Ward!$M$2:$N$11, IF(J52="Quận 8", Ward!$O$2:$P$17, IF(J52="Quận 9", Ward!$Q$2:$R$14, IF(J52="Quận 10", Ward!$S$2:$T$16, IF(J52="Quận 11", Ward!$U$2:$V$17, IF(J52="Quận 12", Ward!$W$2:$X$12, IF(J52="Huyện Bình Chánh", Ward!$Y$2:$Z$17, IF(J52="Quận Bình Tân", Ward!$AA$2:$AB$11, IF(J52="Quận Bình Thạnh", Ward!$AC$2:$AD$21, IF(J52="Huyện Cần Giờ", Ward!$AE$2:$AF$8, IF(J52="Huyện Củ Chi", Ward!$AG$2:$AH$22, IF(J52="Quận Gò Vấp", Ward!$AI$2:$AJ$17, IF(J52="Huyện Hóc Môn", Ward!$AK$2:$AL$13, IF(J52="Huyện Nhà Bè", Ward!$AM$2:$AN$8, IF(J52="Quận Phú Nhuận", Ward!$AO$2:$AP$16, IF(J52="Quận Tân Bình", Ward!$AQ$2:$AR$16, IF(J52="Quận Tân Phú", Ward!$AS$2:$AT$12, IF(J52="Quận Thủ Đức", Ward!$AU$2:$AV$13)))))))))))))))))))))))), 2, FALSE), "")</f>
        <v>26740</v>
      </c>
      <c r="Y52" s="45">
        <f>IF(B52 &lt;&gt; "", VLOOKUP(B52, HospitalType!$A$2:$B$9, 2, FALSE), "")</f>
        <v>4</v>
      </c>
    </row>
    <row r="53" spans="1:25" s="47" customFormat="1" x14ac:dyDescent="0.25">
      <c r="A53" s="40" t="s">
        <v>867</v>
      </c>
      <c r="B53" s="41" t="s">
        <v>316</v>
      </c>
      <c r="C53" s="24" t="s">
        <v>700</v>
      </c>
      <c r="D53" s="24" t="s">
        <v>700</v>
      </c>
      <c r="E53" s="41" t="b">
        <v>0</v>
      </c>
      <c r="F53" s="41"/>
      <c r="G53" s="42" t="s">
        <v>868</v>
      </c>
      <c r="H53" s="42" t="s">
        <v>869</v>
      </c>
      <c r="I53" s="42" t="s">
        <v>12</v>
      </c>
      <c r="J53" s="42" t="s">
        <v>327</v>
      </c>
      <c r="K53" s="42" t="s">
        <v>346</v>
      </c>
      <c r="L53" s="42" t="s">
        <v>870</v>
      </c>
      <c r="M53" s="42"/>
      <c r="N53" s="42"/>
      <c r="O53" s="42" t="s">
        <v>871</v>
      </c>
      <c r="P53" s="42" t="s">
        <v>877</v>
      </c>
      <c r="Q53" s="41"/>
      <c r="R53" s="43" t="s">
        <v>53</v>
      </c>
      <c r="S53" s="43"/>
      <c r="T53" s="43"/>
      <c r="U53" s="44"/>
      <c r="V53" s="45">
        <f>IF(I53 &lt;&gt; "", VLOOKUP(I53, City!$A$1:$B$2, 2, FALSE), "" )</f>
        <v>79</v>
      </c>
      <c r="W53" s="45">
        <f>IF(J53 &lt;&gt; "", VLOOKUP(J53, District!$A$1:$B$25, 2, FALSE), "")</f>
        <v>760</v>
      </c>
      <c r="X53" s="46">
        <f>IF(K53 &lt;&gt; "", VLOOKUP(K53, IF(J53="Quận 1", Ward!$A$2:$B$11, IF(J53="Quận 2", Ward!$C$2:$D$12, IF(J53="Quận 3", Ward!$E$2:$F$15, IF(J53="Quận 4", Ward!$G$2:$H$16, IF(J53="Quận 5", Ward!$I$2:$J$16, IF(J53="Quận 6", Ward!$K$2:$L$15, IF(J53="Quận 7", Ward!$M$2:$N$11, IF(J53="Quận 8", Ward!$O$2:$P$17, IF(J53="Quận 9", Ward!$Q$2:$R$14, IF(J53="Quận 10", Ward!$S$2:$T$16, IF(J53="Quận 11", Ward!$U$2:$V$17, IF(J53="Quận 12", Ward!$W$2:$X$12, IF(J53="Huyện Bình Chánh", Ward!$Y$2:$Z$17, IF(J53="Quận Bình Tân", Ward!$AA$2:$AB$11, IF(J53="Quận Bình Thạnh", Ward!$AC$2:$AD$21, IF(J53="Huyện Cần Giờ", Ward!$AE$2:$AF$8, IF(J53="Huyện Củ Chi", Ward!$AG$2:$AH$22, IF(J53="Quận Gò Vấp", Ward!$AI$2:$AJ$17, IF(J53="Huyện Hóc Môn", Ward!$AK$2:$AL$13, IF(J53="Huyện Nhà Bè", Ward!$AM$2:$AN$8, IF(J53="Quận Phú Nhuận", Ward!$AO$2:$AP$16, IF(J53="Quận Tân Bình", Ward!$AQ$2:$AR$16, IF(J53="Quận Tân Phú", Ward!$AS$2:$AT$12, IF(J53="Quận Thủ Đức", Ward!$AU$2:$AV$13)))))))))))))))))))))))), 2, FALSE), "")</f>
        <v>26740</v>
      </c>
      <c r="Y53" s="45">
        <f>IF(B53 &lt;&gt; "", VLOOKUP(B53, HospitalType!$A$2:$B$9, 2, FALSE), "")</f>
        <v>4</v>
      </c>
    </row>
    <row r="54" spans="1:25" s="47" customFormat="1" x14ac:dyDescent="0.25">
      <c r="A54" s="40" t="s">
        <v>872</v>
      </c>
      <c r="B54" s="41" t="s">
        <v>316</v>
      </c>
      <c r="C54" s="24" t="s">
        <v>945</v>
      </c>
      <c r="D54" s="24" t="s">
        <v>945</v>
      </c>
      <c r="E54" s="41" t="b">
        <v>0</v>
      </c>
      <c r="F54" s="41"/>
      <c r="G54" s="42" t="s">
        <v>873</v>
      </c>
      <c r="H54" s="42" t="s">
        <v>874</v>
      </c>
      <c r="I54" s="42" t="s">
        <v>12</v>
      </c>
      <c r="J54" s="42" t="s">
        <v>327</v>
      </c>
      <c r="K54" s="42" t="s">
        <v>351</v>
      </c>
      <c r="L54" s="42" t="s">
        <v>875</v>
      </c>
      <c r="M54" s="42"/>
      <c r="N54" s="42"/>
      <c r="O54" s="42" t="s">
        <v>876</v>
      </c>
      <c r="P54" s="42"/>
      <c r="Q54" s="41" t="s">
        <v>878</v>
      </c>
      <c r="R54" s="43" t="s">
        <v>53</v>
      </c>
      <c r="S54" s="43"/>
      <c r="T54" s="43"/>
      <c r="U54" s="44"/>
      <c r="V54" s="45">
        <f>IF(I54 &lt;&gt; "", VLOOKUP(I54, City!$A$1:$B$2, 2, FALSE), "" )</f>
        <v>79</v>
      </c>
      <c r="W54" s="45">
        <f>IF(J54 &lt;&gt; "", VLOOKUP(J54, District!$A$1:$B$25, 2, FALSE), "")</f>
        <v>760</v>
      </c>
      <c r="X54" s="46">
        <f>IF(K54 &lt;&gt; "", VLOOKUP(K54, IF(J54="Quận 1", Ward!$A$2:$B$11, IF(J54="Quận 2", Ward!$C$2:$D$12, IF(J54="Quận 3", Ward!$E$2:$F$15, IF(J54="Quận 4", Ward!$G$2:$H$16, IF(J54="Quận 5", Ward!$I$2:$J$16, IF(J54="Quận 6", Ward!$K$2:$L$15, IF(J54="Quận 7", Ward!$M$2:$N$11, IF(J54="Quận 8", Ward!$O$2:$P$17, IF(J54="Quận 9", Ward!$Q$2:$R$14, IF(J54="Quận 10", Ward!$S$2:$T$16, IF(J54="Quận 11", Ward!$U$2:$V$17, IF(J54="Quận 12", Ward!$W$2:$X$12, IF(J54="Huyện Bình Chánh", Ward!$Y$2:$Z$17, IF(J54="Quận Bình Tân", Ward!$AA$2:$AB$11, IF(J54="Quận Bình Thạnh", Ward!$AC$2:$AD$21, IF(J54="Huyện Cần Giờ", Ward!$AE$2:$AF$8, IF(J54="Huyện Củ Chi", Ward!$AG$2:$AH$22, IF(J54="Quận Gò Vấp", Ward!$AI$2:$AJ$17, IF(J54="Huyện Hóc Môn", Ward!$AK$2:$AL$13, IF(J54="Huyện Nhà Bè", Ward!$AM$2:$AN$8, IF(J54="Quận Phú Nhuận", Ward!$AO$2:$AP$16, IF(J54="Quận Tân Bình", Ward!$AQ$2:$AR$16, IF(J54="Quận Tân Phú", Ward!$AS$2:$AT$12, IF(J54="Quận Thủ Đức", Ward!$AU$2:$AV$13)))))))))))))))))))))))), 2, FALSE), "")</f>
        <v>26737</v>
      </c>
      <c r="Y54" s="45">
        <f>IF(B54 &lt;&gt; "", VLOOKUP(B54, HospitalType!$A$2:$B$9, 2, FALSE), "")</f>
        <v>4</v>
      </c>
    </row>
    <row r="55" spans="1:25" s="47" customFormat="1" x14ac:dyDescent="0.25">
      <c r="A55" s="40" t="s">
        <v>879</v>
      </c>
      <c r="B55" s="41" t="s">
        <v>316</v>
      </c>
      <c r="C55" s="33" t="s">
        <v>652</v>
      </c>
      <c r="D55" s="33" t="s">
        <v>652</v>
      </c>
      <c r="E55" s="41" t="b">
        <v>0</v>
      </c>
      <c r="F55" s="41"/>
      <c r="G55" s="42" t="s">
        <v>880</v>
      </c>
      <c r="H55" s="42" t="s">
        <v>881</v>
      </c>
      <c r="I55" s="42" t="s">
        <v>12</v>
      </c>
      <c r="J55" s="42" t="s">
        <v>332</v>
      </c>
      <c r="K55" s="42" t="s">
        <v>372</v>
      </c>
      <c r="L55" s="42" t="s">
        <v>882</v>
      </c>
      <c r="M55" s="42"/>
      <c r="N55" s="42"/>
      <c r="O55" s="42" t="s">
        <v>940</v>
      </c>
      <c r="P55" s="42" t="s">
        <v>883</v>
      </c>
      <c r="Q55" s="41" t="s">
        <v>884</v>
      </c>
      <c r="R55" s="43" t="s">
        <v>53</v>
      </c>
      <c r="S55" s="43"/>
      <c r="T55" s="43"/>
      <c r="U55" s="44"/>
      <c r="V55" s="45">
        <f>IF(I55 &lt;&gt; "", VLOOKUP(I55, City!$A$1:$B$2, 2, FALSE), "" )</f>
        <v>79</v>
      </c>
      <c r="W55" s="45">
        <f>IF(J55 &lt;&gt; "", VLOOKUP(J55, District!$A$1:$B$25, 2, FALSE), "")</f>
        <v>770</v>
      </c>
      <c r="X55" s="46" t="str">
        <f>IF(K55 &lt;&gt; "", VLOOKUP(K55, IF(J55="Quận 1", Ward!$A$2:$B$11, IF(J55="Quận 2", Ward!$C$2:$D$12, IF(J55="Quận 3", Ward!$E$2:$F$15, IF(J55="Quận 4", Ward!$G$2:$H$16, IF(J55="Quận 5", Ward!$I$2:$J$16, IF(J55="Quận 6", Ward!$K$2:$L$15, IF(J55="Quận 7", Ward!$M$2:$N$11, IF(J55="Quận 8", Ward!$O$2:$P$17, IF(J55="Quận 9", Ward!$Q$2:$R$14, IF(J55="Quận 10", Ward!$S$2:$T$16, IF(J55="Quận 11", Ward!$U$2:$V$17, IF(J55="Quận 12", Ward!$W$2:$X$12, IF(J55="Huyện Bình Chánh", Ward!$Y$2:$Z$17, IF(J55="Quận Bình Tân", Ward!$AA$2:$AB$11, IF(J55="Quận Bình Thạnh", Ward!$AC$2:$AD$21, IF(J55="Huyện Cần Giờ", Ward!$AE$2:$AF$8, IF(J55="Huyện Củ Chi", Ward!$AG$2:$AH$22, IF(J55="Quận Gò Vấp", Ward!$AI$2:$AJ$17, IF(J55="Huyện Hóc Môn", Ward!$AK$2:$AL$13, IF(J55="Huyện Nhà Bè", Ward!$AM$2:$AN$8, IF(J55="Quận Phú Nhuận", Ward!$AO$2:$AP$16, IF(J55="Quận Tân Bình", Ward!$AQ$2:$AR$16, IF(J55="Quận Tân Phú", Ward!$AS$2:$AT$12, IF(J55="Quận Thủ Đức", Ward!$AU$2:$AV$13)))))))))))))))))))))))), 2, FALSE), "")</f>
        <v>27139</v>
      </c>
      <c r="Y55" s="45">
        <f>IF(B55 &lt;&gt; "", VLOOKUP(B55, HospitalType!$A$2:$B$9, 2, FALSE), "")</f>
        <v>4</v>
      </c>
    </row>
    <row r="56" spans="1:25" s="47" customFormat="1" x14ac:dyDescent="0.25">
      <c r="A56" s="40" t="s">
        <v>885</v>
      </c>
      <c r="B56" s="41" t="s">
        <v>316</v>
      </c>
      <c r="C56" s="33" t="s">
        <v>948</v>
      </c>
      <c r="D56" s="33" t="s">
        <v>949</v>
      </c>
      <c r="E56" s="41" t="b">
        <v>0</v>
      </c>
      <c r="F56" s="41"/>
      <c r="G56" s="42" t="s">
        <v>886</v>
      </c>
      <c r="H56" s="42" t="s">
        <v>887</v>
      </c>
      <c r="I56" s="42" t="s">
        <v>12</v>
      </c>
      <c r="J56" s="42" t="s">
        <v>327</v>
      </c>
      <c r="K56" s="42" t="s">
        <v>347</v>
      </c>
      <c r="L56" s="42" t="s">
        <v>888</v>
      </c>
      <c r="M56" s="42"/>
      <c r="N56" s="42"/>
      <c r="O56" s="42"/>
      <c r="P56" s="42"/>
      <c r="Q56" s="41"/>
      <c r="R56" s="43" t="s">
        <v>53</v>
      </c>
      <c r="S56" s="43"/>
      <c r="T56" s="43"/>
      <c r="U56" s="44"/>
      <c r="V56" s="45">
        <f>IF(I56 &lt;&gt; "", VLOOKUP(I56, City!$A$1:$B$2, 2, FALSE), "" )</f>
        <v>79</v>
      </c>
      <c r="W56" s="45">
        <f>IF(J56 &lt;&gt; "", VLOOKUP(J56, District!$A$1:$B$25, 2, FALSE), "")</f>
        <v>760</v>
      </c>
      <c r="X56" s="46">
        <f>IF(K56 &lt;&gt; "", VLOOKUP(K56, IF(J56="Quận 1", Ward!$A$2:$B$11, IF(J56="Quận 2", Ward!$C$2:$D$12, IF(J56="Quận 3", Ward!$E$2:$F$15, IF(J56="Quận 4", Ward!$G$2:$H$16, IF(J56="Quận 5", Ward!$I$2:$J$16, IF(J56="Quận 6", Ward!$K$2:$L$15, IF(J56="Quận 7", Ward!$M$2:$N$11, IF(J56="Quận 8", Ward!$O$2:$P$17, IF(J56="Quận 9", Ward!$Q$2:$R$14, IF(J56="Quận 10", Ward!$S$2:$T$16, IF(J56="Quận 11", Ward!$U$2:$V$17, IF(J56="Quận 12", Ward!$W$2:$X$12, IF(J56="Huyện Bình Chánh", Ward!$Y$2:$Z$17, IF(J56="Quận Bình Tân", Ward!$AA$2:$AB$11, IF(J56="Quận Bình Thạnh", Ward!$AC$2:$AD$21, IF(J56="Huyện Cần Giờ", Ward!$AE$2:$AF$8, IF(J56="Huyện Củ Chi", Ward!$AG$2:$AH$22, IF(J56="Quận Gò Vấp", Ward!$AI$2:$AJ$17, IF(J56="Huyện Hóc Môn", Ward!$AK$2:$AL$13, IF(J56="Huyện Nhà Bè", Ward!$AM$2:$AN$8, IF(J56="Quận Phú Nhuận", Ward!$AO$2:$AP$16, IF(J56="Quận Tân Bình", Ward!$AQ$2:$AR$16, IF(J56="Quận Tân Phú", Ward!$AS$2:$AT$12, IF(J56="Quận Thủ Đức", Ward!$AU$2:$AV$13)))))))))))))))))))))))), 2, FALSE), "")</f>
        <v>26743</v>
      </c>
      <c r="Y56" s="45">
        <f>IF(B56 &lt;&gt; "", VLOOKUP(B56, HospitalType!$A$2:$B$9, 2, FALSE), "")</f>
        <v>4</v>
      </c>
    </row>
    <row r="57" spans="1:25" s="47" customFormat="1" x14ac:dyDescent="0.25">
      <c r="A57" s="40" t="s">
        <v>889</v>
      </c>
      <c r="B57" s="41" t="s">
        <v>316</v>
      </c>
      <c r="C57" s="33" t="s">
        <v>948</v>
      </c>
      <c r="D57" s="33" t="s">
        <v>948</v>
      </c>
      <c r="E57" s="41" t="b">
        <v>0</v>
      </c>
      <c r="F57" s="41"/>
      <c r="G57" s="42" t="s">
        <v>890</v>
      </c>
      <c r="H57" s="42" t="s">
        <v>891</v>
      </c>
      <c r="I57" s="42" t="s">
        <v>12</v>
      </c>
      <c r="J57" s="42" t="s">
        <v>327</v>
      </c>
      <c r="K57" s="42" t="s">
        <v>347</v>
      </c>
      <c r="L57" s="42" t="s">
        <v>892</v>
      </c>
      <c r="M57" s="42"/>
      <c r="N57" s="42"/>
      <c r="O57" s="42" t="s">
        <v>893</v>
      </c>
      <c r="P57" s="42" t="s">
        <v>894</v>
      </c>
      <c r="Q57" s="41" t="s">
        <v>895</v>
      </c>
      <c r="R57" s="43" t="s">
        <v>53</v>
      </c>
      <c r="S57" s="43"/>
      <c r="T57" s="43"/>
      <c r="U57" s="44"/>
      <c r="V57" s="45">
        <f>IF(I57 &lt;&gt; "", VLOOKUP(I57, City!$A$1:$B$2, 2, FALSE), "" )</f>
        <v>79</v>
      </c>
      <c r="W57" s="45">
        <f>IF(J57 &lt;&gt; "", VLOOKUP(J57, District!$A$1:$B$25, 2, FALSE), "")</f>
        <v>760</v>
      </c>
      <c r="X57" s="46">
        <f>IF(K57 &lt;&gt; "", VLOOKUP(K57, IF(J57="Quận 1", Ward!$A$2:$B$11, IF(J57="Quận 2", Ward!$C$2:$D$12, IF(J57="Quận 3", Ward!$E$2:$F$15, IF(J57="Quận 4", Ward!$G$2:$H$16, IF(J57="Quận 5", Ward!$I$2:$J$16, IF(J57="Quận 6", Ward!$K$2:$L$15, IF(J57="Quận 7", Ward!$M$2:$N$11, IF(J57="Quận 8", Ward!$O$2:$P$17, IF(J57="Quận 9", Ward!$Q$2:$R$14, IF(J57="Quận 10", Ward!$S$2:$T$16, IF(J57="Quận 11", Ward!$U$2:$V$17, IF(J57="Quận 12", Ward!$W$2:$X$12, IF(J57="Huyện Bình Chánh", Ward!$Y$2:$Z$17, IF(J57="Quận Bình Tân", Ward!$AA$2:$AB$11, IF(J57="Quận Bình Thạnh", Ward!$AC$2:$AD$21, IF(J57="Huyện Cần Giờ", Ward!$AE$2:$AF$8, IF(J57="Huyện Củ Chi", Ward!$AG$2:$AH$22, IF(J57="Quận Gò Vấp", Ward!$AI$2:$AJ$17, IF(J57="Huyện Hóc Môn", Ward!$AK$2:$AL$13, IF(J57="Huyện Nhà Bè", Ward!$AM$2:$AN$8, IF(J57="Quận Phú Nhuận", Ward!$AO$2:$AP$16, IF(J57="Quận Tân Bình", Ward!$AQ$2:$AR$16, IF(J57="Quận Tân Phú", Ward!$AS$2:$AT$12, IF(J57="Quận Thủ Đức", Ward!$AU$2:$AV$13)))))))))))))))))))))))), 2, FALSE), "")</f>
        <v>26743</v>
      </c>
      <c r="Y57" s="45">
        <f>IF(B57 &lt;&gt; "", VLOOKUP(B57, HospitalType!$A$2:$B$9, 2, FALSE), "")</f>
        <v>4</v>
      </c>
    </row>
    <row r="58" spans="1:25" s="47" customFormat="1" x14ac:dyDescent="0.25">
      <c r="A58" s="40" t="s">
        <v>896</v>
      </c>
      <c r="B58" s="41" t="s">
        <v>316</v>
      </c>
      <c r="C58" s="33" t="s">
        <v>955</v>
      </c>
      <c r="D58" s="33" t="s">
        <v>956</v>
      </c>
      <c r="E58" s="41" t="b">
        <v>0</v>
      </c>
      <c r="F58" s="41"/>
      <c r="G58" s="42" t="s">
        <v>897</v>
      </c>
      <c r="H58" s="42" t="s">
        <v>898</v>
      </c>
      <c r="I58" s="42" t="s">
        <v>12</v>
      </c>
      <c r="J58" s="42" t="s">
        <v>327</v>
      </c>
      <c r="K58" s="42" t="s">
        <v>346</v>
      </c>
      <c r="L58" s="42" t="s">
        <v>899</v>
      </c>
      <c r="M58" s="42"/>
      <c r="N58" s="42"/>
      <c r="O58" s="42" t="s">
        <v>900</v>
      </c>
      <c r="P58" s="42" t="s">
        <v>901</v>
      </c>
      <c r="Q58" s="41" t="s">
        <v>895</v>
      </c>
      <c r="R58" s="43" t="s">
        <v>53</v>
      </c>
      <c r="S58" s="43"/>
      <c r="T58" s="43"/>
      <c r="U58" s="44"/>
      <c r="V58" s="45">
        <f>IF(I58 &lt;&gt; "", VLOOKUP(I58, City!$A$1:$B$2, 2, FALSE), "" )</f>
        <v>79</v>
      </c>
      <c r="W58" s="45">
        <f>IF(J58 &lt;&gt; "", VLOOKUP(J58, District!$A$1:$B$25, 2, FALSE), "")</f>
        <v>760</v>
      </c>
      <c r="X58" s="46">
        <f>IF(K58 &lt;&gt; "", VLOOKUP(K58, IF(J58="Quận 1", Ward!$A$2:$B$11, IF(J58="Quận 2", Ward!$C$2:$D$12, IF(J58="Quận 3", Ward!$E$2:$F$15, IF(J58="Quận 4", Ward!$G$2:$H$16, IF(J58="Quận 5", Ward!$I$2:$J$16, IF(J58="Quận 6", Ward!$K$2:$L$15, IF(J58="Quận 7", Ward!$M$2:$N$11, IF(J58="Quận 8", Ward!$O$2:$P$17, IF(J58="Quận 9", Ward!$Q$2:$R$14, IF(J58="Quận 10", Ward!$S$2:$T$16, IF(J58="Quận 11", Ward!$U$2:$V$17, IF(J58="Quận 12", Ward!$W$2:$X$12, IF(J58="Huyện Bình Chánh", Ward!$Y$2:$Z$17, IF(J58="Quận Bình Tân", Ward!$AA$2:$AB$11, IF(J58="Quận Bình Thạnh", Ward!$AC$2:$AD$21, IF(J58="Huyện Cần Giờ", Ward!$AE$2:$AF$8, IF(J58="Huyện Củ Chi", Ward!$AG$2:$AH$22, IF(J58="Quận Gò Vấp", Ward!$AI$2:$AJ$17, IF(J58="Huyện Hóc Môn", Ward!$AK$2:$AL$13, IF(J58="Huyện Nhà Bè", Ward!$AM$2:$AN$8, IF(J58="Quận Phú Nhuận", Ward!$AO$2:$AP$16, IF(J58="Quận Tân Bình", Ward!$AQ$2:$AR$16, IF(J58="Quận Tân Phú", Ward!$AS$2:$AT$12, IF(J58="Quận Thủ Đức", Ward!$AU$2:$AV$13)))))))))))))))))))))))), 2, FALSE), "")</f>
        <v>26740</v>
      </c>
      <c r="Y58" s="45">
        <f>IF(B58 &lt;&gt; "", VLOOKUP(B58, HospitalType!$A$2:$B$9, 2, FALSE), "")</f>
        <v>4</v>
      </c>
    </row>
    <row r="59" spans="1:25" s="47" customFormat="1" ht="60" x14ac:dyDescent="0.25">
      <c r="A59" s="40" t="s">
        <v>902</v>
      </c>
      <c r="B59" s="41" t="s">
        <v>310</v>
      </c>
      <c r="C59" s="24" t="s">
        <v>964</v>
      </c>
      <c r="D59" s="24" t="s">
        <v>963</v>
      </c>
      <c r="E59" s="41" t="b">
        <v>0</v>
      </c>
      <c r="F59" s="41"/>
      <c r="G59" s="42" t="s">
        <v>903</v>
      </c>
      <c r="H59" s="42" t="s">
        <v>616</v>
      </c>
      <c r="I59" s="42" t="s">
        <v>12</v>
      </c>
      <c r="J59" s="42" t="s">
        <v>332</v>
      </c>
      <c r="K59" s="42" t="s">
        <v>373</v>
      </c>
      <c r="L59" s="42" t="s">
        <v>904</v>
      </c>
      <c r="M59" s="42"/>
      <c r="N59" s="42"/>
      <c r="O59" s="42" t="s">
        <v>905</v>
      </c>
      <c r="P59" s="42" t="s">
        <v>906</v>
      </c>
      <c r="Q59" s="41"/>
      <c r="R59" s="43" t="s">
        <v>61</v>
      </c>
      <c r="S59" s="43" t="s">
        <v>1024</v>
      </c>
      <c r="T59" s="43" t="s">
        <v>1024</v>
      </c>
      <c r="U59" s="44" t="s">
        <v>1044</v>
      </c>
      <c r="V59" s="45">
        <f>IF(I59 &lt;&gt; "", VLOOKUP(I59, City!$A$1:$B$2, 2, FALSE), "" )</f>
        <v>79</v>
      </c>
      <c r="W59" s="45">
        <f>IF(J59 &lt;&gt; "", VLOOKUP(J59, District!$A$1:$B$25, 2, FALSE), "")</f>
        <v>770</v>
      </c>
      <c r="X59" s="46" t="str">
        <f>IF(K59 &lt;&gt; "", VLOOKUP(K59, IF(J59="Quận 1", Ward!$A$2:$B$11, IF(J59="Quận 2", Ward!$C$2:$D$12, IF(J59="Quận 3", Ward!$E$2:$F$15, IF(J59="Quận 4", Ward!$G$2:$H$16, IF(J59="Quận 5", Ward!$I$2:$J$16, IF(J59="Quận 6", Ward!$K$2:$L$15, IF(J59="Quận 7", Ward!$M$2:$N$11, IF(J59="Quận 8", Ward!$O$2:$P$17, IF(J59="Quận 9", Ward!$Q$2:$R$14, IF(J59="Quận 10", Ward!$S$2:$T$16, IF(J59="Quận 11", Ward!$U$2:$V$17, IF(J59="Quận 12", Ward!$W$2:$X$12, IF(J59="Huyện Bình Chánh", Ward!$Y$2:$Z$17, IF(J59="Quận Bình Tân", Ward!$AA$2:$AB$11, IF(J59="Quận Bình Thạnh", Ward!$AC$2:$AD$21, IF(J59="Huyện Cần Giờ", Ward!$AE$2:$AF$8, IF(J59="Huyện Củ Chi", Ward!$AG$2:$AH$22, IF(J59="Quận Gò Vấp", Ward!$AI$2:$AJ$17, IF(J59="Huyện Hóc Môn", Ward!$AK$2:$AL$13, IF(J59="Huyện Nhà Bè", Ward!$AM$2:$AN$8, IF(J59="Quận Phú Nhuận", Ward!$AO$2:$AP$16, IF(J59="Quận Tân Bình", Ward!$AQ$2:$AR$16, IF(J59="Quận Tân Phú", Ward!$AS$2:$AT$12, IF(J59="Quận Thủ Đức", Ward!$AU$2:$AV$13)))))))))))))))))))))))), 2, FALSE), "")</f>
        <v>27124</v>
      </c>
      <c r="Y59" s="45">
        <f>IF(B59 &lt;&gt; "", VLOOKUP(B59, HospitalType!$A$2:$B$9, 2, FALSE), "")</f>
        <v>1</v>
      </c>
    </row>
    <row r="60" spans="1:25" s="47" customFormat="1" ht="45" x14ac:dyDescent="0.25">
      <c r="A60" s="40" t="s">
        <v>907</v>
      </c>
      <c r="B60" s="41" t="s">
        <v>310</v>
      </c>
      <c r="C60" s="24" t="s">
        <v>964</v>
      </c>
      <c r="D60" s="24" t="s">
        <v>963</v>
      </c>
      <c r="E60" s="41" t="b">
        <v>0</v>
      </c>
      <c r="F60" s="41"/>
      <c r="G60" s="42" t="s">
        <v>908</v>
      </c>
      <c r="H60" s="42" t="s">
        <v>909</v>
      </c>
      <c r="I60" s="42" t="s">
        <v>12</v>
      </c>
      <c r="J60" s="42" t="s">
        <v>327</v>
      </c>
      <c r="K60" s="42" t="s">
        <v>347</v>
      </c>
      <c r="L60" s="42" t="s">
        <v>910</v>
      </c>
      <c r="M60" s="42"/>
      <c r="N60" s="42"/>
      <c r="O60" s="42" t="s">
        <v>911</v>
      </c>
      <c r="P60" s="42"/>
      <c r="Q60" s="41" t="s">
        <v>912</v>
      </c>
      <c r="R60" s="43" t="s">
        <v>61</v>
      </c>
      <c r="S60" s="43" t="s">
        <v>1024</v>
      </c>
      <c r="T60" s="43" t="s">
        <v>1024</v>
      </c>
      <c r="U60" s="44" t="s">
        <v>1042</v>
      </c>
      <c r="V60" s="45">
        <f>IF(I60 &lt;&gt; "", VLOOKUP(I60, City!$A$1:$B$2, 2, FALSE), "" )</f>
        <v>79</v>
      </c>
      <c r="W60" s="45">
        <f>IF(J60 &lt;&gt; "", VLOOKUP(J60, District!$A$1:$B$25, 2, FALSE), "")</f>
        <v>760</v>
      </c>
      <c r="X60" s="46">
        <f>IF(K60 &lt;&gt; "", VLOOKUP(K60, IF(J60="Quận 1", Ward!$A$2:$B$11, IF(J60="Quận 2", Ward!$C$2:$D$12, IF(J60="Quận 3", Ward!$E$2:$F$15, IF(J60="Quận 4", Ward!$G$2:$H$16, IF(J60="Quận 5", Ward!$I$2:$J$16, IF(J60="Quận 6", Ward!$K$2:$L$15, IF(J60="Quận 7", Ward!$M$2:$N$11, IF(J60="Quận 8", Ward!$O$2:$P$17, IF(J60="Quận 9", Ward!$Q$2:$R$14, IF(J60="Quận 10", Ward!$S$2:$T$16, IF(J60="Quận 11", Ward!$U$2:$V$17, IF(J60="Quận 12", Ward!$W$2:$X$12, IF(J60="Huyện Bình Chánh", Ward!$Y$2:$Z$17, IF(J60="Quận Bình Tân", Ward!$AA$2:$AB$11, IF(J60="Quận Bình Thạnh", Ward!$AC$2:$AD$21, IF(J60="Huyện Cần Giờ", Ward!$AE$2:$AF$8, IF(J60="Huyện Củ Chi", Ward!$AG$2:$AH$22, IF(J60="Quận Gò Vấp", Ward!$AI$2:$AJ$17, IF(J60="Huyện Hóc Môn", Ward!$AK$2:$AL$13, IF(J60="Huyện Nhà Bè", Ward!$AM$2:$AN$8, IF(J60="Quận Phú Nhuận", Ward!$AO$2:$AP$16, IF(J60="Quận Tân Bình", Ward!$AQ$2:$AR$16, IF(J60="Quận Tân Phú", Ward!$AS$2:$AT$12, IF(J60="Quận Thủ Đức", Ward!$AU$2:$AV$13)))))))))))))))))))))))), 2, FALSE), "")</f>
        <v>26743</v>
      </c>
      <c r="Y60" s="45">
        <f>IF(B60 &lt;&gt; "", VLOOKUP(B60, HospitalType!$A$2:$B$9, 2, FALSE), "")</f>
        <v>1</v>
      </c>
    </row>
    <row r="61" spans="1:25" s="47" customFormat="1" ht="45" x14ac:dyDescent="0.25">
      <c r="A61" s="40" t="s">
        <v>913</v>
      </c>
      <c r="B61" s="41" t="s">
        <v>316</v>
      </c>
      <c r="C61" s="24" t="s">
        <v>955</v>
      </c>
      <c r="D61" s="24" t="s">
        <v>965</v>
      </c>
      <c r="E61" s="41" t="b">
        <v>0</v>
      </c>
      <c r="F61" s="41"/>
      <c r="G61" s="42" t="s">
        <v>914</v>
      </c>
      <c r="H61" s="42" t="s">
        <v>915</v>
      </c>
      <c r="I61" s="42" t="s">
        <v>12</v>
      </c>
      <c r="J61" s="42" t="s">
        <v>334</v>
      </c>
      <c r="K61" s="42" t="s">
        <v>368</v>
      </c>
      <c r="L61" s="42" t="s">
        <v>916</v>
      </c>
      <c r="M61" s="42"/>
      <c r="N61" s="42"/>
      <c r="O61" s="42" t="s">
        <v>917</v>
      </c>
      <c r="P61" s="42" t="s">
        <v>918</v>
      </c>
      <c r="Q61" s="41" t="s">
        <v>919</v>
      </c>
      <c r="R61" s="43" t="s">
        <v>61</v>
      </c>
      <c r="S61" s="43" t="s">
        <v>1024</v>
      </c>
      <c r="T61" s="43" t="s">
        <v>1024</v>
      </c>
      <c r="U61" s="44" t="s">
        <v>1042</v>
      </c>
      <c r="V61" s="45">
        <f>IF(I61 &lt;&gt; "", VLOOKUP(I61, City!$A$1:$B$2, 2, FALSE), "" )</f>
        <v>79</v>
      </c>
      <c r="W61" s="45">
        <f>IF(J61 &lt;&gt; "", VLOOKUP(J61, District!$A$1:$B$25, 2, FALSE), "")</f>
        <v>774</v>
      </c>
      <c r="X61" s="46" t="str">
        <f>IF(K61 &lt;&gt; "", VLOOKUP(K61, IF(J61="Quận 1", Ward!$A$2:$B$11, IF(J61="Quận 2", Ward!$C$2:$D$12, IF(J61="Quận 3", Ward!$E$2:$F$15, IF(J61="Quận 4", Ward!$G$2:$H$16, IF(J61="Quận 5", Ward!$I$2:$J$16, IF(J61="Quận 6", Ward!$K$2:$L$15, IF(J61="Quận 7", Ward!$M$2:$N$11, IF(J61="Quận 8", Ward!$O$2:$P$17, IF(J61="Quận 9", Ward!$Q$2:$R$14, IF(J61="Quận 10", Ward!$S$2:$T$16, IF(J61="Quận 11", Ward!$U$2:$V$17, IF(J61="Quận 12", Ward!$W$2:$X$12, IF(J61="Huyện Bình Chánh", Ward!$Y$2:$Z$17, IF(J61="Quận Bình Tân", Ward!$AA$2:$AB$11, IF(J61="Quận Bình Thạnh", Ward!$AC$2:$AD$21, IF(J61="Huyện Cần Giờ", Ward!$AE$2:$AF$8, IF(J61="Huyện Củ Chi", Ward!$AG$2:$AH$22, IF(J61="Quận Gò Vấp", Ward!$AI$2:$AJ$17, IF(J61="Huyện Hóc Môn", Ward!$AK$2:$AL$13, IF(J61="Huyện Nhà Bè", Ward!$AM$2:$AN$8, IF(J61="Quận Phú Nhuận", Ward!$AO$2:$AP$16, IF(J61="Quận Tân Bình", Ward!$AQ$2:$AR$16, IF(J61="Quận Tân Phú", Ward!$AS$2:$AT$12, IF(J61="Quận Thủ Đức", Ward!$AU$2:$AV$13)))))))))))))))))))))))), 2, FALSE), "")</f>
        <v>27313</v>
      </c>
      <c r="Y61" s="45">
        <f>IF(B61 &lt;&gt; "", VLOOKUP(B61, HospitalType!$A$2:$B$9, 2, FALSE), "")</f>
        <v>4</v>
      </c>
    </row>
    <row r="62" spans="1:25" s="47" customFormat="1" ht="45" x14ac:dyDescent="0.25">
      <c r="A62" s="40" t="s">
        <v>920</v>
      </c>
      <c r="B62" s="41" t="s">
        <v>316</v>
      </c>
      <c r="C62" s="24" t="s">
        <v>945</v>
      </c>
      <c r="D62" s="24" t="s">
        <v>945</v>
      </c>
      <c r="E62" s="41" t="b">
        <v>0</v>
      </c>
      <c r="F62" s="41"/>
      <c r="G62" s="48" t="s">
        <v>921</v>
      </c>
      <c r="H62" s="42" t="s">
        <v>922</v>
      </c>
      <c r="I62" s="42" t="s">
        <v>12</v>
      </c>
      <c r="J62" s="42" t="s">
        <v>336</v>
      </c>
      <c r="K62" s="42" t="s">
        <v>389</v>
      </c>
      <c r="L62" s="42" t="s">
        <v>923</v>
      </c>
      <c r="M62" s="42" t="s">
        <v>924</v>
      </c>
      <c r="N62" s="42"/>
      <c r="O62" s="49" t="s">
        <v>942</v>
      </c>
      <c r="P62" s="42" t="s">
        <v>925</v>
      </c>
      <c r="Q62" s="41" t="s">
        <v>926</v>
      </c>
      <c r="R62" s="43" t="s">
        <v>61</v>
      </c>
      <c r="S62" s="43" t="s">
        <v>1024</v>
      </c>
      <c r="T62" s="43" t="s">
        <v>1024</v>
      </c>
      <c r="U62" s="44" t="s">
        <v>1043</v>
      </c>
      <c r="V62" s="45">
        <f>IF(I62 &lt;&gt; "", VLOOKUP(I62, City!$A$1:$B$2, 2, FALSE), "" )</f>
        <v>79</v>
      </c>
      <c r="W62" s="45">
        <f>IF(J62 &lt;&gt; "", VLOOKUP(J62, District!$A$1:$B$25, 2, FALSE), "")</f>
        <v>778</v>
      </c>
      <c r="X62" s="46">
        <f>IF(K62 &lt;&gt; "", VLOOKUP(K62, IF(J62="Quận 1", Ward!$A$2:$B$11, IF(J62="Quận 2", Ward!$C$2:$D$12, IF(J62="Quận 3", Ward!$E$2:$F$15, IF(J62="Quận 4", Ward!$G$2:$H$16, IF(J62="Quận 5", Ward!$I$2:$J$16, IF(J62="Quận 6", Ward!$K$2:$L$15, IF(J62="Quận 7", Ward!$M$2:$N$11, IF(J62="Quận 8", Ward!$O$2:$P$17, IF(J62="Quận 9", Ward!$Q$2:$R$14, IF(J62="Quận 10", Ward!$S$2:$T$16, IF(J62="Quận 11", Ward!$U$2:$V$17, IF(J62="Quận 12", Ward!$W$2:$X$12, IF(J62="Huyện Bình Chánh", Ward!$Y$2:$Z$17, IF(J62="Quận Bình Tân", Ward!$AA$2:$AB$11, IF(J62="Quận Bình Thạnh", Ward!$AC$2:$AD$21, IF(J62="Huyện Cần Giờ", Ward!$AE$2:$AF$8, IF(J62="Huyện Củ Chi", Ward!$AG$2:$AH$22, IF(J62="Quận Gò Vấp", Ward!$AI$2:$AJ$17, IF(J62="Huyện Hóc Môn", Ward!$AK$2:$AL$13, IF(J62="Huyện Nhà Bè", Ward!$AM$2:$AN$8, IF(J62="Quận Phú Nhuận", Ward!$AO$2:$AP$16, IF(J62="Quận Tân Bình", Ward!$AQ$2:$AR$16, IF(J62="Quận Tân Phú", Ward!$AS$2:$AT$12, IF(J62="Quận Thủ Đức", Ward!$AU$2:$AV$13)))))))))))))))))))))))), 2, FALSE), "")</f>
        <v>27490</v>
      </c>
      <c r="Y62" s="45">
        <f>IF(B62 &lt;&gt; "", VLOOKUP(B62, HospitalType!$A$2:$B$9, 2, FALSE), "")</f>
        <v>4</v>
      </c>
    </row>
    <row r="63" spans="1:25" s="47" customFormat="1" ht="45" x14ac:dyDescent="0.25">
      <c r="A63" s="40" t="s">
        <v>927</v>
      </c>
      <c r="B63" s="41" t="s">
        <v>311</v>
      </c>
      <c r="C63" s="33" t="s">
        <v>652</v>
      </c>
      <c r="D63" s="33" t="s">
        <v>652</v>
      </c>
      <c r="E63" s="41" t="b">
        <v>0</v>
      </c>
      <c r="F63" s="41"/>
      <c r="G63" s="42" t="s">
        <v>928</v>
      </c>
      <c r="H63" s="42" t="s">
        <v>929</v>
      </c>
      <c r="I63" s="42" t="s">
        <v>12</v>
      </c>
      <c r="J63" s="42" t="s">
        <v>328</v>
      </c>
      <c r="K63" s="42" t="s">
        <v>369</v>
      </c>
      <c r="L63" s="42" t="s">
        <v>930</v>
      </c>
      <c r="M63" s="42"/>
      <c r="N63" s="42"/>
      <c r="O63" s="42"/>
      <c r="P63" s="42"/>
      <c r="Q63" s="41" t="s">
        <v>912</v>
      </c>
      <c r="R63" s="43" t="s">
        <v>61</v>
      </c>
      <c r="S63" s="43" t="s">
        <v>1024</v>
      </c>
      <c r="T63" s="43" t="s">
        <v>1024</v>
      </c>
      <c r="U63" s="44" t="s">
        <v>1042</v>
      </c>
      <c r="V63" s="45">
        <f>IF(I63 &lt;&gt; "", VLOOKUP(I63, City!$A$1:$B$2, 2, FALSE), "" )</f>
        <v>79</v>
      </c>
      <c r="W63" s="45">
        <f>IF(J63 &lt;&gt; "", VLOOKUP(J63, District!$A$1:$B$25, 2, FALSE), "")</f>
        <v>771</v>
      </c>
      <c r="X63" s="46" t="str">
        <f>IF(K63 &lt;&gt; "", VLOOKUP(K63, IF(J63="Quận 1", Ward!$A$2:$B$11, IF(J63="Quận 2", Ward!$C$2:$D$12, IF(J63="Quận 3", Ward!$E$2:$F$15, IF(J63="Quận 4", Ward!$G$2:$H$16, IF(J63="Quận 5", Ward!$I$2:$J$16, IF(J63="Quận 6", Ward!$K$2:$L$15, IF(J63="Quận 7", Ward!$M$2:$N$11, IF(J63="Quận 8", Ward!$O$2:$P$17, IF(J63="Quận 9", Ward!$Q$2:$R$14, IF(J63="Quận 10", Ward!$S$2:$T$16, IF(J63="Quận 11", Ward!$U$2:$V$17, IF(J63="Quận 12", Ward!$W$2:$X$12, IF(J63="Huyện Bình Chánh", Ward!$Y$2:$Z$17, IF(J63="Quận Bình Tân", Ward!$AA$2:$AB$11, IF(J63="Quận Bình Thạnh", Ward!$AC$2:$AD$21, IF(J63="Huyện Cần Giờ", Ward!$AE$2:$AF$8, IF(J63="Huyện Củ Chi", Ward!$AG$2:$AH$22, IF(J63="Quận Gò Vấp", Ward!$AI$2:$AJ$17, IF(J63="Huyện Hóc Môn", Ward!$AK$2:$AL$13, IF(J63="Huyện Nhà Bè", Ward!$AM$2:$AN$8, IF(J63="Quận Phú Nhuận", Ward!$AO$2:$AP$16, IF(J63="Quận Tân Bình", Ward!$AQ$2:$AR$16, IF(J63="Quận Tân Phú", Ward!$AS$2:$AT$12, IF(J63="Quận Thủ Đức", Ward!$AU$2:$AV$13)))))))))))))))))))))))), 2, FALSE), "")</f>
        <v>27205</v>
      </c>
      <c r="Y63" s="45">
        <f>IF(B63 &lt;&gt; "", VLOOKUP(B63, HospitalType!$A$2:$B$9, 2, FALSE), "")</f>
        <v>3</v>
      </c>
    </row>
    <row r="64" spans="1:25" ht="45" x14ac:dyDescent="0.25">
      <c r="A64" s="34" t="s">
        <v>931</v>
      </c>
      <c r="B64" s="24" t="s">
        <v>310</v>
      </c>
      <c r="C64" s="33" t="s">
        <v>948</v>
      </c>
      <c r="D64" s="33" t="s">
        <v>949</v>
      </c>
      <c r="E64" s="24" t="b">
        <v>0</v>
      </c>
      <c r="F64" s="24"/>
      <c r="G64" s="25" t="s">
        <v>932</v>
      </c>
      <c r="H64" s="25" t="s">
        <v>933</v>
      </c>
      <c r="I64" s="25" t="s">
        <v>12</v>
      </c>
      <c r="J64" s="25" t="s">
        <v>332</v>
      </c>
      <c r="K64" s="25" t="s">
        <v>375</v>
      </c>
      <c r="L64" s="25" t="s">
        <v>934</v>
      </c>
      <c r="M64" s="25"/>
      <c r="N64" s="25"/>
      <c r="O64" s="25" t="s">
        <v>935</v>
      </c>
      <c r="P64" s="25" t="s">
        <v>936</v>
      </c>
      <c r="Q64" s="24"/>
      <c r="R64" s="26" t="s">
        <v>69</v>
      </c>
      <c r="S64" s="26" t="s">
        <v>1024</v>
      </c>
      <c r="T64" s="26" t="s">
        <v>1024</v>
      </c>
      <c r="U64" s="27" t="s">
        <v>1045</v>
      </c>
      <c r="V64" s="20">
        <f>IF(I64 &lt;&gt; "", VLOOKUP(I64, City!$A$1:$B$2, 2, FALSE), "" )</f>
        <v>79</v>
      </c>
      <c r="W64" s="20">
        <f>IF(J64 &lt;&gt; "", VLOOKUP(J64, District!$A$1:$B$25, 2, FALSE), "")</f>
        <v>770</v>
      </c>
      <c r="X64" s="21" t="str">
        <f>IF(K64 &lt;&gt; "", VLOOKUP(K64, IF(J64="Quận 1", Ward!$A$2:$B$11, IF(J64="Quận 2", Ward!$C$2:$D$12, IF(J64="Quận 3", Ward!$E$2:$F$15, IF(J64="Quận 4", Ward!$G$2:$H$16, IF(J64="Quận 5", Ward!$I$2:$J$16, IF(J64="Quận 6", Ward!$K$2:$L$15, IF(J64="Quận 7", Ward!$M$2:$N$11, IF(J64="Quận 8", Ward!$O$2:$P$17, IF(J64="Quận 9", Ward!$Q$2:$R$14, IF(J64="Quận 10", Ward!$S$2:$T$16, IF(J64="Quận 11", Ward!$U$2:$V$17, IF(J64="Quận 12", Ward!$W$2:$X$12, IF(J64="Huyện Bình Chánh", Ward!$Y$2:$Z$17, IF(J64="Quận Bình Tân", Ward!$AA$2:$AB$11, IF(J64="Quận Bình Thạnh", Ward!$AC$2:$AD$21, IF(J64="Huyện Cần Giờ", Ward!$AE$2:$AF$8, IF(J64="Huyện Củ Chi", Ward!$AG$2:$AH$22, IF(J64="Quận Gò Vấp", Ward!$AI$2:$AJ$17, IF(J64="Huyện Hóc Môn", Ward!$AK$2:$AL$13, IF(J64="Huyện Nhà Bè", Ward!$AM$2:$AN$8, IF(J64="Quận Phú Nhuận", Ward!$AO$2:$AP$16, IF(J64="Quận Tân Bình", Ward!$AQ$2:$AR$16, IF(J64="Quận Tân Phú", Ward!$AS$2:$AT$12, IF(J64="Quận Thủ Đức", Ward!$AU$2:$AV$13)))))))))))))))))))))))), 2, FALSE), "")</f>
        <v>27142</v>
      </c>
      <c r="Y64" s="20">
        <f>IF(B64 &lt;&gt; "", VLOOKUP(B64, HospitalType!$A$2:$B$9, 2, FALSE), "")</f>
        <v>1</v>
      </c>
    </row>
    <row r="65" spans="1:25" ht="75" x14ac:dyDescent="0.25">
      <c r="A65" s="55" t="s">
        <v>1047</v>
      </c>
      <c r="B65" s="50" t="s">
        <v>317</v>
      </c>
      <c r="C65" s="50" t="s">
        <v>1048</v>
      </c>
      <c r="D65" s="50" t="s">
        <v>1048</v>
      </c>
      <c r="E65" s="50" t="b">
        <v>0</v>
      </c>
      <c r="F65" s="50"/>
      <c r="G65" s="51" t="s">
        <v>1049</v>
      </c>
      <c r="H65" s="51" t="s">
        <v>1050</v>
      </c>
      <c r="I65" s="51" t="s">
        <v>12</v>
      </c>
      <c r="J65" s="51" t="s">
        <v>327</v>
      </c>
      <c r="K65" s="51" t="s">
        <v>355</v>
      </c>
      <c r="L65" s="51" t="s">
        <v>1051</v>
      </c>
      <c r="M65" s="51" t="s">
        <v>1052</v>
      </c>
      <c r="N65" s="51"/>
      <c r="O65" s="51" t="s">
        <v>1053</v>
      </c>
      <c r="P65" s="51"/>
      <c r="Q65" s="50"/>
      <c r="R65" s="52" t="s">
        <v>1054</v>
      </c>
      <c r="S65" s="52" t="s">
        <v>1055</v>
      </c>
      <c r="T65" s="52" t="s">
        <v>981</v>
      </c>
      <c r="U65" s="53" t="s">
        <v>1056</v>
      </c>
      <c r="V65" s="20">
        <f>IF(I65 &lt;&gt; "", VLOOKUP(I65, City!$A$1:$B$2, 2, FALSE), "" )</f>
        <v>79</v>
      </c>
      <c r="W65" s="20">
        <f>IF(J65 &lt;&gt; "", VLOOKUP(J65, District!$A$1:$B$25, 2, FALSE), "")</f>
        <v>760</v>
      </c>
      <c r="X65" s="21">
        <f>IF(K65 &lt;&gt; "", VLOOKUP(K65, IF(J65="Quận 1", Ward!$A$2:$B$11, IF(J65="Quận 2", Ward!$C$2:$D$12, IF(J65="Quận 3", Ward!$E$2:$F$15, IF(J65="Quận 4", Ward!$G$2:$H$16, IF(J65="Quận 5", Ward!$I$2:$J$16, IF(J65="Quận 6", Ward!$K$2:$L$15, IF(J65="Quận 7", Ward!$M$2:$N$11, IF(J65="Quận 8", Ward!$O$2:$P$17, IF(J65="Quận 9", Ward!$Q$2:$R$14, IF(J65="Quận 10", Ward!$S$2:$T$16, IF(J65="Quận 11", Ward!$U$2:$V$17, IF(J65="Quận 12", Ward!$W$2:$X$12, IF(J65="Huyện Bình Chánh", Ward!$Y$2:$Z$17, IF(J65="Quận Bình Tân", Ward!$AA$2:$AB$11, IF(J65="Quận Bình Thạnh", Ward!$AC$2:$AD$21, IF(J65="Huyện Cần Giờ", Ward!$AE$2:$AF$8, IF(J65="Huyện Củ Chi", Ward!$AG$2:$AH$22, IF(J65="Quận Gò Vấp", Ward!$AI$2:$AJ$17, IF(J65="Huyện Hóc Môn", Ward!$AK$2:$AL$13, IF(J65="Huyện Nhà Bè", Ward!$AM$2:$AN$8, IF(J65="Quận Phú Nhuận", Ward!$AO$2:$AP$16, IF(J65="Quận Tân Bình", Ward!$AQ$2:$AR$16, IF(J65="Quận Tân Phú", Ward!$AS$2:$AT$12, IF(J65="Quận Thủ Đức", Ward!$AU$2:$AV$13)))))))))))))))))))))))), 2, FALSE), "")</f>
        <v>26734</v>
      </c>
      <c r="Y65" s="20">
        <f>IF(B65 &lt;&gt; "", VLOOKUP(B65, HospitalType!$A$2:$B$9, 2, FALSE), "")</f>
        <v>5</v>
      </c>
    </row>
    <row r="66" spans="1:25" ht="60" x14ac:dyDescent="0.25">
      <c r="A66" s="55" t="s">
        <v>1057</v>
      </c>
      <c r="B66" s="50" t="s">
        <v>317</v>
      </c>
      <c r="C66" s="50" t="s">
        <v>1048</v>
      </c>
      <c r="D66" s="50" t="s">
        <v>1048</v>
      </c>
      <c r="E66" s="50" t="b">
        <v>0</v>
      </c>
      <c r="F66" s="50"/>
      <c r="G66" s="51" t="s">
        <v>1058</v>
      </c>
      <c r="H66" s="51" t="s">
        <v>715</v>
      </c>
      <c r="I66" s="51" t="s">
        <v>12</v>
      </c>
      <c r="J66" s="51" t="s">
        <v>328</v>
      </c>
      <c r="K66" s="51" t="s">
        <v>379</v>
      </c>
      <c r="L66" s="51" t="s">
        <v>1059</v>
      </c>
      <c r="M66" s="51" t="s">
        <v>1060</v>
      </c>
      <c r="N66" s="51"/>
      <c r="O66" s="51"/>
      <c r="P66" s="51"/>
      <c r="Q66" s="50"/>
      <c r="R66" s="52" t="s">
        <v>1061</v>
      </c>
      <c r="S66" s="52" t="s">
        <v>1055</v>
      </c>
      <c r="T66" s="52" t="s">
        <v>708</v>
      </c>
      <c r="U66" s="53" t="s">
        <v>1062</v>
      </c>
      <c r="V66" s="20">
        <f>IF(I66 &lt;&gt; "", VLOOKUP(I66, City!$A$1:$B$2, 2, FALSE), "" )</f>
        <v>79</v>
      </c>
      <c r="W66" s="20">
        <f>IF(J66 &lt;&gt; "", VLOOKUP(J66, District!$A$1:$B$25, 2, FALSE), "")</f>
        <v>771</v>
      </c>
      <c r="X66" s="21" t="str">
        <f>IF(K66 &lt;&gt; "", VLOOKUP(K66, IF(J66="Quận 1", Ward!$A$2:$B$11, IF(J66="Quận 2", Ward!$C$2:$D$12, IF(J66="Quận 3", Ward!$E$2:$F$15, IF(J66="Quận 4", Ward!$G$2:$H$16, IF(J66="Quận 5", Ward!$I$2:$J$16, IF(J66="Quận 6", Ward!$K$2:$L$15, IF(J66="Quận 7", Ward!$M$2:$N$11, IF(J66="Quận 8", Ward!$O$2:$P$17, IF(J66="Quận 9", Ward!$Q$2:$R$14, IF(J66="Quận 10", Ward!$S$2:$T$16, IF(J66="Quận 11", Ward!$U$2:$V$17, IF(J66="Quận 12", Ward!$W$2:$X$12, IF(J66="Huyện Bình Chánh", Ward!$Y$2:$Z$17, IF(J66="Quận Bình Tân", Ward!$AA$2:$AB$11, IF(J66="Quận Bình Thạnh", Ward!$AC$2:$AD$21, IF(J66="Huyện Cần Giờ", Ward!$AE$2:$AF$8, IF(J66="Huyện Củ Chi", Ward!$AG$2:$AH$22, IF(J66="Quận Gò Vấp", Ward!$AI$2:$AJ$17, IF(J66="Huyện Hóc Môn", Ward!$AK$2:$AL$13, IF(J66="Huyện Nhà Bè", Ward!$AM$2:$AN$8, IF(J66="Quận Phú Nhuận", Ward!$AO$2:$AP$16, IF(J66="Quận Tân Bình", Ward!$AQ$2:$AR$16, IF(J66="Quận Tân Phú", Ward!$AS$2:$AT$12, IF(J66="Quận Thủ Đức", Ward!$AU$2:$AV$13)))))))))))))))))))))))), 2, FALSE), "")</f>
        <v>27166</v>
      </c>
      <c r="Y66" s="20">
        <f>IF(B66 &lt;&gt; "", VLOOKUP(B66, HospitalType!$A$2:$B$9, 2, FALSE), "")</f>
        <v>5</v>
      </c>
    </row>
    <row r="67" spans="1:25" ht="60" x14ac:dyDescent="0.25">
      <c r="A67" s="55" t="s">
        <v>1063</v>
      </c>
      <c r="B67" s="50" t="s">
        <v>317</v>
      </c>
      <c r="C67" s="50" t="s">
        <v>1048</v>
      </c>
      <c r="D67" s="50" t="s">
        <v>1048</v>
      </c>
      <c r="E67" s="50" t="b">
        <v>0</v>
      </c>
      <c r="F67" s="50"/>
      <c r="G67" s="51" t="s">
        <v>873</v>
      </c>
      <c r="H67" s="51" t="s">
        <v>1064</v>
      </c>
      <c r="I67" s="51" t="s">
        <v>12</v>
      </c>
      <c r="J67" s="51" t="s">
        <v>329</v>
      </c>
      <c r="K67" s="51" t="s">
        <v>374</v>
      </c>
      <c r="L67" s="51" t="s">
        <v>1065</v>
      </c>
      <c r="M67" s="51"/>
      <c r="N67" s="51"/>
      <c r="O67" s="51"/>
      <c r="P67" s="51"/>
      <c r="Q67" s="50"/>
      <c r="R67" s="52" t="s">
        <v>1061</v>
      </c>
      <c r="S67" s="52" t="s">
        <v>1055</v>
      </c>
      <c r="T67" s="52" t="s">
        <v>707</v>
      </c>
      <c r="U67" s="53" t="s">
        <v>1056</v>
      </c>
      <c r="V67" s="20">
        <f>IF(I67 &lt;&gt; "", VLOOKUP(I67, City!$A$1:$B$2, 2, FALSE), "" )</f>
        <v>79</v>
      </c>
      <c r="W67" s="20">
        <f>IF(J67 &lt;&gt; "", VLOOKUP(J67, District!$A$1:$B$25, 2, FALSE), "")</f>
        <v>772</v>
      </c>
      <c r="X67" s="21" t="str">
        <f>IF(K67 &lt;&gt; "", VLOOKUP(K67, IF(J67="Quận 1", Ward!$A$2:$B$11, IF(J67="Quận 2", Ward!$C$2:$D$12, IF(J67="Quận 3", Ward!$E$2:$F$15, IF(J67="Quận 4", Ward!$G$2:$H$16, IF(J67="Quận 5", Ward!$I$2:$J$16, IF(J67="Quận 6", Ward!$K$2:$L$15, IF(J67="Quận 7", Ward!$M$2:$N$11, IF(J67="Quận 8", Ward!$O$2:$P$17, IF(J67="Quận 9", Ward!$Q$2:$R$14, IF(J67="Quận 10", Ward!$S$2:$T$16, IF(J67="Quận 11", Ward!$U$2:$V$17, IF(J67="Quận 12", Ward!$W$2:$X$12, IF(J67="Huyện Bình Chánh", Ward!$Y$2:$Z$17, IF(J67="Quận Bình Tân", Ward!$AA$2:$AB$11, IF(J67="Quận Bình Thạnh", Ward!$AC$2:$AD$21, IF(J67="Huyện Cần Giờ", Ward!$AE$2:$AF$8, IF(J67="Huyện Củ Chi", Ward!$AG$2:$AH$22, IF(J67="Quận Gò Vấp", Ward!$AI$2:$AJ$17, IF(J67="Huyện Hóc Môn", Ward!$AK$2:$AL$13, IF(J67="Huyện Nhà Bè", Ward!$AM$2:$AN$8, IF(J67="Quận Phú Nhuận", Ward!$AO$2:$AP$16, IF(J67="Quận Tân Bình", Ward!$AQ$2:$AR$16, IF(J67="Quận Tân Phú", Ward!$AS$2:$AT$12, IF(J67="Quận Thủ Đức", Ward!$AU$2:$AV$13)))))))))))))))))))))))), 2, FALSE), "")</f>
        <v>27229</v>
      </c>
      <c r="Y67" s="20">
        <f>IF(B67 &lt;&gt; "", VLOOKUP(B67, HospitalType!$A$2:$B$9, 2, FALSE), "")</f>
        <v>5</v>
      </c>
    </row>
    <row r="68" spans="1:25" ht="75" x14ac:dyDescent="0.25">
      <c r="A68" s="55" t="s">
        <v>1066</v>
      </c>
      <c r="B68" s="50" t="s">
        <v>317</v>
      </c>
      <c r="C68" s="50" t="s">
        <v>1048</v>
      </c>
      <c r="D68" s="50" t="s">
        <v>1048</v>
      </c>
      <c r="E68" s="50" t="b">
        <v>0</v>
      </c>
      <c r="F68" s="50"/>
      <c r="G68" s="51" t="s">
        <v>1067</v>
      </c>
      <c r="H68" s="51" t="s">
        <v>1068</v>
      </c>
      <c r="I68" s="51" t="s">
        <v>12</v>
      </c>
      <c r="J68" s="51" t="s">
        <v>330</v>
      </c>
      <c r="K68" s="51" t="s">
        <v>409</v>
      </c>
      <c r="L68" s="51" t="s">
        <v>1069</v>
      </c>
      <c r="M68" s="51"/>
      <c r="N68" s="51"/>
      <c r="O68" s="51"/>
      <c r="P68" s="51"/>
      <c r="Q68" s="50"/>
      <c r="R68" s="52" t="s">
        <v>1054</v>
      </c>
      <c r="S68" s="52" t="s">
        <v>1055</v>
      </c>
      <c r="T68" s="52" t="s">
        <v>708</v>
      </c>
      <c r="U68" s="53" t="s">
        <v>1062</v>
      </c>
      <c r="V68" s="20">
        <f>IF(I68 &lt;&gt; "", VLOOKUP(I68, City!$A$1:$B$2, 2, FALSE), "" )</f>
        <v>79</v>
      </c>
      <c r="W68" s="20">
        <f>IF(J68 &lt;&gt; "", VLOOKUP(J68, District!$A$1:$B$25, 2, FALSE), "")</f>
        <v>761</v>
      </c>
      <c r="X68" s="21">
        <f>IF(K68 &lt;&gt; "", VLOOKUP(K68, IF(J68="Quận 1", Ward!$A$2:$B$11, IF(J68="Quận 2", Ward!$C$2:$D$12, IF(J68="Quận 3", Ward!$E$2:$F$15, IF(J68="Quận 4", Ward!$G$2:$H$16, IF(J68="Quận 5", Ward!$I$2:$J$16, IF(J68="Quận 6", Ward!$K$2:$L$15, IF(J68="Quận 7", Ward!$M$2:$N$11, IF(J68="Quận 8", Ward!$O$2:$P$17, IF(J68="Quận 9", Ward!$Q$2:$R$14, IF(J68="Quận 10", Ward!$S$2:$T$16, IF(J68="Quận 11", Ward!$U$2:$V$17, IF(J68="Quận 12", Ward!$W$2:$X$12, IF(J68="Huyện Bình Chánh", Ward!$Y$2:$Z$17, IF(J68="Quận Bình Tân", Ward!$AA$2:$AB$11, IF(J68="Quận Bình Thạnh", Ward!$AC$2:$AD$21, IF(J68="Huyện Cần Giờ", Ward!$AE$2:$AF$8, IF(J68="Huyện Củ Chi", Ward!$AG$2:$AH$22, IF(J68="Quận Gò Vấp", Ward!$AI$2:$AJ$17, IF(J68="Huyện Hóc Môn", Ward!$AK$2:$AL$13, IF(J68="Huyện Nhà Bè", Ward!$AM$2:$AN$8, IF(J68="Quận Phú Nhuận", Ward!$AO$2:$AP$16, IF(J68="Quận Tân Bình", Ward!$AQ$2:$AR$16, IF(J68="Quận Tân Phú", Ward!$AS$2:$AT$12, IF(J68="Quận Thủ Đức", Ward!$AU$2:$AV$13)))))))))))))))))))))))), 2, FALSE), "")</f>
        <v>26776</v>
      </c>
      <c r="Y68" s="20">
        <f>IF(B68 &lt;&gt; "", VLOOKUP(B68, HospitalType!$A$2:$B$9, 2, FALSE), "")</f>
        <v>5</v>
      </c>
    </row>
    <row r="69" spans="1:25" ht="75" x14ac:dyDescent="0.25">
      <c r="A69" s="55" t="s">
        <v>1070</v>
      </c>
      <c r="B69" s="50" t="s">
        <v>317</v>
      </c>
      <c r="C69" s="50" t="s">
        <v>948</v>
      </c>
      <c r="D69" s="50" t="s">
        <v>1048</v>
      </c>
      <c r="E69" s="50" t="b">
        <v>0</v>
      </c>
      <c r="F69" s="50"/>
      <c r="G69" s="51" t="s">
        <v>1071</v>
      </c>
      <c r="H69" s="51" t="s">
        <v>1072</v>
      </c>
      <c r="I69" s="51" t="s">
        <v>12</v>
      </c>
      <c r="J69" s="51" t="s">
        <v>331</v>
      </c>
      <c r="K69" s="51" t="s">
        <v>362</v>
      </c>
      <c r="L69" s="51" t="s">
        <v>1073</v>
      </c>
      <c r="M69" s="51"/>
      <c r="N69" s="51"/>
      <c r="O69" s="51"/>
      <c r="P69" s="51"/>
      <c r="Q69" s="50"/>
      <c r="R69" s="52" t="s">
        <v>1054</v>
      </c>
      <c r="S69" s="52" t="s">
        <v>1055</v>
      </c>
      <c r="T69" s="52" t="s">
        <v>981</v>
      </c>
      <c r="U69" s="53" t="s">
        <v>1062</v>
      </c>
      <c r="V69" s="20">
        <f>IF(I69 &lt;&gt; "", VLOOKUP(I69, City!$A$1:$B$2, 2, FALSE), "" )</f>
        <v>79</v>
      </c>
      <c r="W69" s="20">
        <f>IF(J69 &lt;&gt; "", VLOOKUP(J69, District!$A$1:$B$25, 2, FALSE), "")</f>
        <v>769</v>
      </c>
      <c r="X69" s="21">
        <f>IF(K69 &lt;&gt; "", VLOOKUP(K69, IF(J69="Quận 1", Ward!$A$2:$B$11, IF(J69="Quận 2", Ward!$C$2:$D$12, IF(J69="Quận 3", Ward!$E$2:$F$15, IF(J69="Quận 4", Ward!$G$2:$H$16, IF(J69="Quận 5", Ward!$I$2:$J$16, IF(J69="Quận 6", Ward!$K$2:$L$15, IF(J69="Quận 7", Ward!$M$2:$N$11, IF(J69="Quận 8", Ward!$O$2:$P$17, IF(J69="Quận 9", Ward!$Q$2:$R$14, IF(J69="Quận 10", Ward!$S$2:$T$16, IF(J69="Quận 11", Ward!$U$2:$V$17, IF(J69="Quận 12", Ward!$W$2:$X$12, IF(J69="Huyện Bình Chánh", Ward!$Y$2:$Z$17, IF(J69="Quận Bình Tân", Ward!$AA$2:$AB$11, IF(J69="Quận Bình Thạnh", Ward!$AC$2:$AD$21, IF(J69="Huyện Cần Giờ", Ward!$AE$2:$AF$8, IF(J69="Huyện Củ Chi", Ward!$AG$2:$AH$22, IF(J69="Quận Gò Vấp", Ward!$AI$2:$AJ$17, IF(J69="Huyện Hóc Môn", Ward!$AK$2:$AL$13, IF(J69="Huyện Nhà Bè", Ward!$AM$2:$AN$8, IF(J69="Quận Phú Nhuận", Ward!$AO$2:$AP$16, IF(J69="Quận Tân Bình", Ward!$AQ$2:$AR$16, IF(J69="Quận Tân Phú", Ward!$AS$2:$AT$12, IF(J69="Quận Thủ Đức", Ward!$AU$2:$AV$13)))))))))))))))))))))))), 2, FALSE), "")</f>
        <v>27100</v>
      </c>
      <c r="Y69" s="20">
        <f>IF(B69 &lt;&gt; "", VLOOKUP(B69, HospitalType!$A$2:$B$9, 2, FALSE), "")</f>
        <v>5</v>
      </c>
    </row>
    <row r="70" spans="1:25" ht="75" x14ac:dyDescent="0.25">
      <c r="A70" s="55" t="s">
        <v>1074</v>
      </c>
      <c r="B70" s="50" t="s">
        <v>317</v>
      </c>
      <c r="C70" s="50" t="s">
        <v>1048</v>
      </c>
      <c r="D70" s="50" t="s">
        <v>1048</v>
      </c>
      <c r="E70" s="50" t="b">
        <v>0</v>
      </c>
      <c r="F70" s="50"/>
      <c r="G70" s="51" t="s">
        <v>1075</v>
      </c>
      <c r="H70" s="51" t="s">
        <v>933</v>
      </c>
      <c r="I70" s="51" t="s">
        <v>12</v>
      </c>
      <c r="J70" s="51" t="s">
        <v>332</v>
      </c>
      <c r="K70" s="51" t="s">
        <v>373</v>
      </c>
      <c r="L70" s="51" t="s">
        <v>1076</v>
      </c>
      <c r="M70" s="51" t="s">
        <v>1077</v>
      </c>
      <c r="N70" s="51"/>
      <c r="O70" s="51" t="s">
        <v>1078</v>
      </c>
      <c r="P70" s="51"/>
      <c r="Q70" s="50"/>
      <c r="R70" s="52" t="s">
        <v>1079</v>
      </c>
      <c r="S70" s="52" t="s">
        <v>1055</v>
      </c>
      <c r="T70" s="52" t="s">
        <v>981</v>
      </c>
      <c r="U70" s="53" t="s">
        <v>1056</v>
      </c>
      <c r="V70" s="20">
        <f>IF(I70 &lt;&gt; "", VLOOKUP(I70, City!$A$1:$B$2, 2, FALSE), "" )</f>
        <v>79</v>
      </c>
      <c r="W70" s="20">
        <f>IF(J70 &lt;&gt; "", VLOOKUP(J70, District!$A$1:$B$25, 2, FALSE), "")</f>
        <v>770</v>
      </c>
      <c r="X70" s="21" t="str">
        <f>IF(K70 &lt;&gt; "", VLOOKUP(K70, IF(J70="Quận 1", Ward!$A$2:$B$11, IF(J70="Quận 2", Ward!$C$2:$D$12, IF(J70="Quận 3", Ward!$E$2:$F$15, IF(J70="Quận 4", Ward!$G$2:$H$16, IF(J70="Quận 5", Ward!$I$2:$J$16, IF(J70="Quận 6", Ward!$K$2:$L$15, IF(J70="Quận 7", Ward!$M$2:$N$11, IF(J70="Quận 8", Ward!$O$2:$P$17, IF(J70="Quận 9", Ward!$Q$2:$R$14, IF(J70="Quận 10", Ward!$S$2:$T$16, IF(J70="Quận 11", Ward!$U$2:$V$17, IF(J70="Quận 12", Ward!$W$2:$X$12, IF(J70="Huyện Bình Chánh", Ward!$Y$2:$Z$17, IF(J70="Quận Bình Tân", Ward!$AA$2:$AB$11, IF(J70="Quận Bình Thạnh", Ward!$AC$2:$AD$21, IF(J70="Huyện Cần Giờ", Ward!$AE$2:$AF$8, IF(J70="Huyện Củ Chi", Ward!$AG$2:$AH$22, IF(J70="Quận Gò Vấp", Ward!$AI$2:$AJ$17, IF(J70="Huyện Hóc Môn", Ward!$AK$2:$AL$13, IF(J70="Huyện Nhà Bè", Ward!$AM$2:$AN$8, IF(J70="Quận Phú Nhuận", Ward!$AO$2:$AP$16, IF(J70="Quận Tân Bình", Ward!$AQ$2:$AR$16, IF(J70="Quận Tân Phú", Ward!$AS$2:$AT$12, IF(J70="Quận Thủ Đức", Ward!$AU$2:$AV$13)))))))))))))))))))))))), 2, FALSE), "")</f>
        <v>27124</v>
      </c>
      <c r="Y70" s="20">
        <f>IF(B70 &lt;&gt; "", VLOOKUP(B70, HospitalType!$A$2:$B$9, 2, FALSE), "")</f>
        <v>5</v>
      </c>
    </row>
    <row r="71" spans="1:25" ht="75" x14ac:dyDescent="0.25">
      <c r="A71" s="55" t="s">
        <v>1080</v>
      </c>
      <c r="B71" s="50" t="s">
        <v>317</v>
      </c>
      <c r="C71" s="50" t="s">
        <v>1048</v>
      </c>
      <c r="D71" s="50" t="s">
        <v>1048</v>
      </c>
      <c r="E71" s="50" t="b">
        <v>0</v>
      </c>
      <c r="F71" s="50"/>
      <c r="G71" s="51" t="s">
        <v>1081</v>
      </c>
      <c r="H71" s="51" t="s">
        <v>1082</v>
      </c>
      <c r="I71" s="51" t="s">
        <v>12</v>
      </c>
      <c r="J71" s="51" t="s">
        <v>333</v>
      </c>
      <c r="K71" s="51" t="s">
        <v>378</v>
      </c>
      <c r="L71" s="51" t="s">
        <v>1083</v>
      </c>
      <c r="M71" s="51"/>
      <c r="N71" s="51"/>
      <c r="O71" s="51" t="s">
        <v>1084</v>
      </c>
      <c r="P71" s="51"/>
      <c r="Q71" s="50"/>
      <c r="R71" s="52" t="s">
        <v>1054</v>
      </c>
      <c r="S71" s="52" t="s">
        <v>1055</v>
      </c>
      <c r="T71" s="52" t="s">
        <v>707</v>
      </c>
      <c r="U71" s="53" t="s">
        <v>1056</v>
      </c>
      <c r="V71" s="20">
        <f>IF(I71 &lt;&gt; "", VLOOKUP(I71, City!$A$1:$B$2, 2, FALSE), "" )</f>
        <v>79</v>
      </c>
      <c r="W71" s="20">
        <f>IF(J71 &lt;&gt; "", VLOOKUP(J71, District!$A$1:$B$25, 2, FALSE), "")</f>
        <v>773</v>
      </c>
      <c r="X71" s="21" t="str">
        <f>IF(K71 &lt;&gt; "", VLOOKUP(K71, IF(J71="Quận 1", Ward!$A$2:$B$11, IF(J71="Quận 2", Ward!$C$2:$D$12, IF(J71="Quận 3", Ward!$E$2:$F$15, IF(J71="Quận 4", Ward!$G$2:$H$16, IF(J71="Quận 5", Ward!$I$2:$J$16, IF(J71="Quận 6", Ward!$K$2:$L$15, IF(J71="Quận 7", Ward!$M$2:$N$11, IF(J71="Quận 8", Ward!$O$2:$P$17, IF(J71="Quận 9", Ward!$Q$2:$R$14, IF(J71="Quận 10", Ward!$S$2:$T$16, IF(J71="Quận 11", Ward!$U$2:$V$17, IF(J71="Quận 12", Ward!$W$2:$X$12, IF(J71="Huyện Bình Chánh", Ward!$Y$2:$Z$17, IF(J71="Quận Bình Tân", Ward!$AA$2:$AB$11, IF(J71="Quận Bình Thạnh", Ward!$AC$2:$AD$21, IF(J71="Huyện Cần Giờ", Ward!$AE$2:$AF$8, IF(J71="Huyện Củ Chi", Ward!$AG$2:$AH$22, IF(J71="Quận Gò Vấp", Ward!$AI$2:$AJ$17, IF(J71="Huyện Hóc Môn", Ward!$AK$2:$AL$13, IF(J71="Huyện Nhà Bè", Ward!$AM$2:$AN$8, IF(J71="Quận Phú Nhuận", Ward!$AO$2:$AP$16, IF(J71="Quận Tân Bình", Ward!$AQ$2:$AR$16, IF(J71="Quận Tân Phú", Ward!$AS$2:$AT$12, IF(J71="Quận Thủ Đức", Ward!$AU$2:$AV$13)))))))))))))))))))))))), 2, FALSE), "")</f>
        <v>27256</v>
      </c>
      <c r="Y71" s="20">
        <f>IF(B71 &lt;&gt; "", VLOOKUP(B71, HospitalType!$A$2:$B$9, 2, FALSE), "")</f>
        <v>5</v>
      </c>
    </row>
    <row r="72" spans="1:25" ht="75" x14ac:dyDescent="0.25">
      <c r="A72" s="55" t="s">
        <v>1085</v>
      </c>
      <c r="B72" s="50" t="s">
        <v>317</v>
      </c>
      <c r="C72" s="50" t="s">
        <v>948</v>
      </c>
      <c r="D72" s="50" t="s">
        <v>1048</v>
      </c>
      <c r="E72" s="50" t="b">
        <v>0</v>
      </c>
      <c r="F72" s="50"/>
      <c r="G72" s="51" t="s">
        <v>1086</v>
      </c>
      <c r="H72" s="51" t="s">
        <v>702</v>
      </c>
      <c r="I72" s="51" t="s">
        <v>12</v>
      </c>
      <c r="J72" s="51" t="s">
        <v>334</v>
      </c>
      <c r="K72" s="51" t="s">
        <v>377</v>
      </c>
      <c r="L72" s="51" t="s">
        <v>1087</v>
      </c>
      <c r="M72" s="51" t="s">
        <v>1088</v>
      </c>
      <c r="N72" s="51"/>
      <c r="O72" s="51"/>
      <c r="P72" s="51"/>
      <c r="Q72" s="50"/>
      <c r="R72" s="52" t="s">
        <v>1054</v>
      </c>
      <c r="S72" s="52" t="s">
        <v>1055</v>
      </c>
      <c r="T72" s="52" t="s">
        <v>708</v>
      </c>
      <c r="U72" s="53" t="s">
        <v>1056</v>
      </c>
      <c r="V72" s="20">
        <f>IF(I72 &lt;&gt; "", VLOOKUP(I72, City!$A$1:$B$2, 2, FALSE), "" )</f>
        <v>79</v>
      </c>
      <c r="W72" s="20">
        <f>IF(J72 &lt;&gt; "", VLOOKUP(J72, District!$A$1:$B$25, 2, FALSE), "")</f>
        <v>774</v>
      </c>
      <c r="X72" s="21" t="str">
        <f>IF(K72 &lt;&gt; "", VLOOKUP(K72, IF(J72="Quận 1", Ward!$A$2:$B$11, IF(J72="Quận 2", Ward!$C$2:$D$12, IF(J72="Quận 3", Ward!$E$2:$F$15, IF(J72="Quận 4", Ward!$G$2:$H$16, IF(J72="Quận 5", Ward!$I$2:$J$16, IF(J72="Quận 6", Ward!$K$2:$L$15, IF(J72="Quận 7", Ward!$M$2:$N$11, IF(J72="Quận 8", Ward!$O$2:$P$17, IF(J72="Quận 9", Ward!$Q$2:$R$14, IF(J72="Quận 10", Ward!$S$2:$T$16, IF(J72="Quận 11", Ward!$U$2:$V$17, IF(J72="Quận 12", Ward!$W$2:$X$12, IF(J72="Huyện Bình Chánh", Ward!$Y$2:$Z$17, IF(J72="Quận Bình Tân", Ward!$AA$2:$AB$11, IF(J72="Quận Bình Thạnh", Ward!$AC$2:$AD$21, IF(J72="Huyện Cần Giờ", Ward!$AE$2:$AF$8, IF(J72="Huyện Củ Chi", Ward!$AG$2:$AH$22, IF(J72="Quận Gò Vấp", Ward!$AI$2:$AJ$17, IF(J72="Huyện Hóc Môn", Ward!$AK$2:$AL$13, IF(J72="Huyện Nhà Bè", Ward!$AM$2:$AN$8, IF(J72="Quận Phú Nhuận", Ward!$AO$2:$AP$16, IF(J72="Quận Tân Bình", Ward!$AQ$2:$AR$16, IF(J72="Quận Tân Phú", Ward!$AS$2:$AT$12, IF(J72="Quận Thủ Đức", Ward!$AU$2:$AV$13)))))))))))))))))))))))), 2, FALSE), "")</f>
        <v>27328</v>
      </c>
      <c r="Y72" s="20">
        <f>IF(B72 &lt;&gt; "", VLOOKUP(B72, HospitalType!$A$2:$B$9, 2, FALSE), "")</f>
        <v>5</v>
      </c>
    </row>
    <row r="73" spans="1:25" ht="75" x14ac:dyDescent="0.25">
      <c r="A73" s="55" t="s">
        <v>1089</v>
      </c>
      <c r="B73" s="50" t="s">
        <v>317</v>
      </c>
      <c r="C73" s="50" t="s">
        <v>948</v>
      </c>
      <c r="D73" s="50" t="s">
        <v>1048</v>
      </c>
      <c r="E73" s="50" t="b">
        <v>0</v>
      </c>
      <c r="F73" s="50"/>
      <c r="G73" s="51" t="s">
        <v>1090</v>
      </c>
      <c r="H73" s="51" t="s">
        <v>1091</v>
      </c>
      <c r="I73" s="51" t="s">
        <v>12</v>
      </c>
      <c r="J73" s="51" t="s">
        <v>335</v>
      </c>
      <c r="K73" s="51" t="s">
        <v>379</v>
      </c>
      <c r="L73" s="51" t="s">
        <v>1092</v>
      </c>
      <c r="M73" s="51"/>
      <c r="N73" s="51"/>
      <c r="O73" s="51"/>
      <c r="P73" s="51"/>
      <c r="Q73" s="50"/>
      <c r="R73" s="52" t="s">
        <v>1054</v>
      </c>
      <c r="S73" s="52" t="s">
        <v>1055</v>
      </c>
      <c r="T73" s="52" t="s">
        <v>707</v>
      </c>
      <c r="U73" s="53" t="s">
        <v>1056</v>
      </c>
      <c r="V73" s="20">
        <f>IF(I73 &lt;&gt; "", VLOOKUP(I73, City!$A$1:$B$2, 2, FALSE), "" )</f>
        <v>79</v>
      </c>
      <c r="W73" s="20">
        <f>IF(J73 &lt;&gt; "", VLOOKUP(J73, District!$A$1:$B$25, 2, FALSE), "")</f>
        <v>775</v>
      </c>
      <c r="X73" s="21" t="str">
        <f>IF(K73 &lt;&gt; "", VLOOKUP(K73, IF(J73="Quận 1", Ward!$A$2:$B$11, IF(J73="Quận 2", Ward!$C$2:$D$12, IF(J73="Quận 3", Ward!$E$2:$F$15, IF(J73="Quận 4", Ward!$G$2:$H$16, IF(J73="Quận 5", Ward!$I$2:$J$16, IF(J73="Quận 6", Ward!$K$2:$L$15, IF(J73="Quận 7", Ward!$M$2:$N$11, IF(J73="Quận 8", Ward!$O$2:$P$17, IF(J73="Quận 9", Ward!$Q$2:$R$14, IF(J73="Quận 10", Ward!$S$2:$T$16, IF(J73="Quận 11", Ward!$U$2:$V$17, IF(J73="Quận 12", Ward!$W$2:$X$12, IF(J73="Huyện Bình Chánh", Ward!$Y$2:$Z$17, IF(J73="Quận Bình Tân", Ward!$AA$2:$AB$11, IF(J73="Quận Bình Thạnh", Ward!$AC$2:$AD$21, IF(J73="Huyện Cần Giờ", Ward!$AE$2:$AF$8, IF(J73="Huyện Củ Chi", Ward!$AG$2:$AH$22, IF(J73="Quận Gò Vấp", Ward!$AI$2:$AJ$17, IF(J73="Huyện Hóc Môn", Ward!$AK$2:$AL$13, IF(J73="Huyện Nhà Bè", Ward!$AM$2:$AN$8, IF(J73="Quận Phú Nhuận", Ward!$AO$2:$AP$16, IF(J73="Quận Tân Bình", Ward!$AQ$2:$AR$16, IF(J73="Quận Tân Phú", Ward!$AS$2:$AT$12, IF(J73="Quận Thủ Đức", Ward!$AU$2:$AV$13)))))))))))))))))))))))), 2, FALSE), "")</f>
        <v>27349</v>
      </c>
      <c r="Y73" s="20">
        <f>IF(B73 &lt;&gt; "", VLOOKUP(B73, HospitalType!$A$2:$B$9, 2, FALSE), "")</f>
        <v>5</v>
      </c>
    </row>
    <row r="74" spans="1:25" ht="75" x14ac:dyDescent="0.25">
      <c r="A74" s="55" t="s">
        <v>1093</v>
      </c>
      <c r="B74" s="50" t="s">
        <v>317</v>
      </c>
      <c r="C74" s="50" t="s">
        <v>1048</v>
      </c>
      <c r="D74" s="50" t="s">
        <v>1048</v>
      </c>
      <c r="E74" s="50" t="b">
        <v>0</v>
      </c>
      <c r="F74" s="50"/>
      <c r="G74" s="51" t="s">
        <v>1094</v>
      </c>
      <c r="H74" s="51" t="s">
        <v>1095</v>
      </c>
      <c r="I74" s="51" t="s">
        <v>12</v>
      </c>
      <c r="J74" s="51" t="s">
        <v>336</v>
      </c>
      <c r="K74" s="51" t="s">
        <v>390</v>
      </c>
      <c r="L74" s="51" t="s">
        <v>1096</v>
      </c>
      <c r="M74" s="51" t="s">
        <v>1097</v>
      </c>
      <c r="N74" s="51"/>
      <c r="O74" s="51"/>
      <c r="P74" s="51"/>
      <c r="Q74" s="50"/>
      <c r="R74" s="52" t="s">
        <v>1054</v>
      </c>
      <c r="S74" s="52" t="s">
        <v>1055</v>
      </c>
      <c r="T74" s="52" t="s">
        <v>981</v>
      </c>
      <c r="U74" s="53" t="s">
        <v>1056</v>
      </c>
      <c r="V74" s="20">
        <f>IF(I74 &lt;&gt; "", VLOOKUP(I74, City!$A$1:$B$2, 2, FALSE), "" )</f>
        <v>79</v>
      </c>
      <c r="W74" s="20">
        <f>IF(J74 &lt;&gt; "", VLOOKUP(J74, District!$A$1:$B$25, 2, FALSE), "")</f>
        <v>778</v>
      </c>
      <c r="X74" s="21">
        <f>IF(K74 &lt;&gt; "", VLOOKUP(K74, IF(J74="Quận 1", Ward!$A$2:$B$11, IF(J74="Quận 2", Ward!$C$2:$D$12, IF(J74="Quận 3", Ward!$E$2:$F$15, IF(J74="Quận 4", Ward!$G$2:$H$16, IF(J74="Quận 5", Ward!$I$2:$J$16, IF(J74="Quận 6", Ward!$K$2:$L$15, IF(J74="Quận 7", Ward!$M$2:$N$11, IF(J74="Quận 8", Ward!$O$2:$P$17, IF(J74="Quận 9", Ward!$Q$2:$R$14, IF(J74="Quận 10", Ward!$S$2:$T$16, IF(J74="Quận 11", Ward!$U$2:$V$17, IF(J74="Quận 12", Ward!$W$2:$X$12, IF(J74="Huyện Bình Chánh", Ward!$Y$2:$Z$17, IF(J74="Quận Bình Tân", Ward!$AA$2:$AB$11, IF(J74="Quận Bình Thạnh", Ward!$AC$2:$AD$21, IF(J74="Huyện Cần Giờ", Ward!$AE$2:$AF$8, IF(J74="Huyện Củ Chi", Ward!$AG$2:$AH$22, IF(J74="Quận Gò Vấp", Ward!$AI$2:$AJ$17, IF(J74="Huyện Hóc Môn", Ward!$AK$2:$AL$13, IF(J74="Huyện Nhà Bè", Ward!$AM$2:$AN$8, IF(J74="Quận Phú Nhuận", Ward!$AO$2:$AP$16, IF(J74="Quận Tân Bình", Ward!$AQ$2:$AR$16, IF(J74="Quận Tân Phú", Ward!$AS$2:$AT$12, IF(J74="Quận Thủ Đức", Ward!$AU$2:$AV$13)))))))))))))))))))))))), 2, FALSE), "")</f>
        <v>27487</v>
      </c>
      <c r="Y74" s="20">
        <f>IF(B74 &lt;&gt; "", VLOOKUP(B74, HospitalType!$A$2:$B$9, 2, FALSE), "")</f>
        <v>5</v>
      </c>
    </row>
    <row r="75" spans="1:25" ht="75" x14ac:dyDescent="0.25">
      <c r="A75" s="55" t="s">
        <v>1098</v>
      </c>
      <c r="B75" s="50" t="s">
        <v>317</v>
      </c>
      <c r="C75" s="50" t="s">
        <v>948</v>
      </c>
      <c r="D75" s="50" t="s">
        <v>1048</v>
      </c>
      <c r="E75" s="50" t="b">
        <v>0</v>
      </c>
      <c r="F75" s="50"/>
      <c r="G75" s="51" t="s">
        <v>1099</v>
      </c>
      <c r="H75" s="51" t="s">
        <v>1100</v>
      </c>
      <c r="I75" s="51" t="s">
        <v>12</v>
      </c>
      <c r="J75" s="51" t="s">
        <v>337</v>
      </c>
      <c r="K75" s="51" t="s">
        <v>370</v>
      </c>
      <c r="L75" s="51" t="s">
        <v>1101</v>
      </c>
      <c r="M75" s="51" t="s">
        <v>1102</v>
      </c>
      <c r="N75" s="51"/>
      <c r="O75" s="51"/>
      <c r="P75" s="51"/>
      <c r="Q75" s="50"/>
      <c r="R75" s="52" t="s">
        <v>1061</v>
      </c>
      <c r="S75" s="52" t="s">
        <v>1055</v>
      </c>
      <c r="T75" s="52" t="s">
        <v>981</v>
      </c>
      <c r="U75" s="53" t="s">
        <v>1056</v>
      </c>
      <c r="V75" s="20">
        <f>IF(I75 &lt;&gt; "", VLOOKUP(I75, City!$A$1:$B$2, 2, FALSE), "" )</f>
        <v>79</v>
      </c>
      <c r="W75" s="20">
        <f>IF(J75 &lt;&gt; "", VLOOKUP(J75, District!$A$1:$B$25, 2, FALSE), "")</f>
        <v>776</v>
      </c>
      <c r="X75" s="21" t="str">
        <f>IF(K75 &lt;&gt; "", VLOOKUP(K75, IF(J75="Quận 1", Ward!$A$2:$B$11, IF(J75="Quận 2", Ward!$C$2:$D$12, IF(J75="Quận 3", Ward!$E$2:$F$15, IF(J75="Quận 4", Ward!$G$2:$H$16, IF(J75="Quận 5", Ward!$I$2:$J$16, IF(J75="Quận 6", Ward!$K$2:$L$15, IF(J75="Quận 7", Ward!$M$2:$N$11, IF(J75="Quận 8", Ward!$O$2:$P$17, IF(J75="Quận 9", Ward!$Q$2:$R$14, IF(J75="Quận 10", Ward!$S$2:$T$16, IF(J75="Quận 11", Ward!$U$2:$V$17, IF(J75="Quận 12", Ward!$W$2:$X$12, IF(J75="Huyện Bình Chánh", Ward!$Y$2:$Z$17, IF(J75="Quận Bình Tân", Ward!$AA$2:$AB$11, IF(J75="Quận Bình Thạnh", Ward!$AC$2:$AD$21, IF(J75="Huyện Cần Giờ", Ward!$AE$2:$AF$8, IF(J75="Huyện Củ Chi", Ward!$AG$2:$AH$22, IF(J75="Quận Gò Vấp", Ward!$AI$2:$AJ$17, IF(J75="Huyện Hóc Môn", Ward!$AK$2:$AL$13, IF(J75="Huyện Nhà Bè", Ward!$AM$2:$AN$8, IF(J75="Quận Phú Nhuận", Ward!$AO$2:$AP$16, IF(J75="Quận Tân Bình", Ward!$AQ$2:$AR$16, IF(J75="Quận Tân Phú", Ward!$AS$2:$AT$12, IF(J75="Quận Thủ Đức", Ward!$AU$2:$AV$13)))))))))))))))))))))))), 2, FALSE), "")</f>
        <v>27409</v>
      </c>
      <c r="Y75" s="20">
        <f>IF(B75 &lt;&gt; "", VLOOKUP(B75, HospitalType!$A$2:$B$9, 2, FALSE), "")</f>
        <v>5</v>
      </c>
    </row>
    <row r="76" spans="1:25" ht="75" x14ac:dyDescent="0.25">
      <c r="A76" s="55" t="s">
        <v>1103</v>
      </c>
      <c r="B76" s="50" t="s">
        <v>317</v>
      </c>
      <c r="C76" s="50" t="s">
        <v>948</v>
      </c>
      <c r="D76" s="50" t="s">
        <v>1048</v>
      </c>
      <c r="E76" s="50" t="b">
        <v>0</v>
      </c>
      <c r="F76" s="50"/>
      <c r="G76" s="51"/>
      <c r="H76" s="51" t="s">
        <v>1104</v>
      </c>
      <c r="I76" s="51" t="s">
        <v>12</v>
      </c>
      <c r="J76" s="51" t="s">
        <v>338</v>
      </c>
      <c r="K76" s="54" t="s">
        <v>403</v>
      </c>
      <c r="L76" s="51" t="s">
        <v>1105</v>
      </c>
      <c r="M76" s="51"/>
      <c r="N76" s="51"/>
      <c r="O76" s="51"/>
      <c r="P76" s="51"/>
      <c r="Q76" s="50"/>
      <c r="R76" s="52" t="s">
        <v>1106</v>
      </c>
      <c r="S76" s="52" t="s">
        <v>1055</v>
      </c>
      <c r="T76" s="52" t="s">
        <v>981</v>
      </c>
      <c r="U76" s="53" t="s">
        <v>1056</v>
      </c>
      <c r="V76" s="20">
        <f>IF(I76 &lt;&gt; "", VLOOKUP(I76, City!$A$1:$B$2, 2, FALSE), "" )</f>
        <v>79</v>
      </c>
      <c r="W76" s="20">
        <f>IF(J76 &lt;&gt; "", VLOOKUP(J76, District!$A$1:$B$25, 2, FALSE), "")</f>
        <v>763</v>
      </c>
      <c r="X76" s="21">
        <f>IF(K76 &lt;&gt; "", VLOOKUP(K76, IF(J76="Quận 1", Ward!$A$2:$B$11, IF(J76="Quận 2", Ward!$C$2:$D$12, IF(J76="Quận 3", Ward!$E$2:$F$15, IF(J76="Quận 4", Ward!$G$2:$H$16, IF(J76="Quận 5", Ward!$I$2:$J$16, IF(J76="Quận 6", Ward!$K$2:$L$15, IF(J76="Quận 7", Ward!$M$2:$N$11, IF(J76="Quận 8", Ward!$O$2:$P$17, IF(J76="Quận 9", Ward!$Q$2:$R$14, IF(J76="Quận 10", Ward!$S$2:$T$16, IF(J76="Quận 11", Ward!$U$2:$V$17, IF(J76="Quận 12", Ward!$W$2:$X$12, IF(J76="Huyện Bình Chánh", Ward!$Y$2:$Z$17, IF(J76="Quận Bình Tân", Ward!$AA$2:$AB$11, IF(J76="Quận Bình Thạnh", Ward!$AC$2:$AD$21, IF(J76="Huyện Cần Giờ", Ward!$AE$2:$AF$8, IF(J76="Huyện Củ Chi", Ward!$AG$2:$AH$22, IF(J76="Quận Gò Vấp", Ward!$AI$2:$AJ$17, IF(J76="Huyện Hóc Môn", Ward!$AK$2:$AL$13, IF(J76="Huyện Nhà Bè", Ward!$AM$2:$AN$8, IF(J76="Quận Phú Nhuận", Ward!$AO$2:$AP$16, IF(J76="Quận Tân Bình", Ward!$AQ$2:$AR$16, IF(J76="Quận Tân Phú", Ward!$AS$2:$AT$12, IF(J76="Quận Thủ Đức", Ward!$AU$2:$AV$13)))))))))))))))))))))))), 2, FALSE), "")</f>
        <v>26842</v>
      </c>
      <c r="Y76" s="20">
        <f>IF(B76 &lt;&gt; "", VLOOKUP(B76, HospitalType!$A$2:$B$9, 2, FALSE), "")</f>
        <v>5</v>
      </c>
    </row>
    <row r="77" spans="1:25" ht="75" x14ac:dyDescent="0.25">
      <c r="A77" s="55" t="s">
        <v>1107</v>
      </c>
      <c r="B77" s="50" t="s">
        <v>317</v>
      </c>
      <c r="C77" s="50" t="s">
        <v>948</v>
      </c>
      <c r="D77" s="50" t="s">
        <v>1048</v>
      </c>
      <c r="E77" s="50" t="b">
        <v>0</v>
      </c>
      <c r="F77" s="50"/>
      <c r="G77" s="51" t="s">
        <v>1108</v>
      </c>
      <c r="H77" s="51" t="s">
        <v>1109</v>
      </c>
      <c r="I77" s="51" t="s">
        <v>12</v>
      </c>
      <c r="J77" s="51" t="s">
        <v>419</v>
      </c>
      <c r="K77" s="51" t="s">
        <v>422</v>
      </c>
      <c r="L77" s="51" t="s">
        <v>1110</v>
      </c>
      <c r="M77" s="51"/>
      <c r="N77" s="51"/>
      <c r="O77" s="51"/>
      <c r="P77" s="51"/>
      <c r="Q77" s="50"/>
      <c r="R77" s="52" t="s">
        <v>1054</v>
      </c>
      <c r="S77" s="52" t="s">
        <v>1055</v>
      </c>
      <c r="T77" s="52" t="s">
        <v>707</v>
      </c>
      <c r="U77" s="53" t="s">
        <v>1056</v>
      </c>
      <c r="V77" s="20">
        <f>IF(I77 &lt;&gt; "", VLOOKUP(I77, City!$A$1:$B$2, 2, FALSE), "" )</f>
        <v>79</v>
      </c>
      <c r="W77" s="20">
        <f>IF(J77 &lt;&gt; "", VLOOKUP(J77, District!$A$1:$B$25, 2, FALSE), "")</f>
        <v>785</v>
      </c>
      <c r="X77" s="21">
        <f>IF(K77 &lt;&gt; "", VLOOKUP(K77, IF(J77="Quận 1", Ward!$A$2:$B$11, IF(J77="Quận 2", Ward!$C$2:$D$12, IF(J77="Quận 3", Ward!$E$2:$F$15, IF(J77="Quận 4", Ward!$G$2:$H$16, IF(J77="Quận 5", Ward!$I$2:$J$16, IF(J77="Quận 6", Ward!$K$2:$L$15, IF(J77="Quận 7", Ward!$M$2:$N$11, IF(J77="Quận 8", Ward!$O$2:$P$17, IF(J77="Quận 9", Ward!$Q$2:$R$14, IF(J77="Quận 10", Ward!$S$2:$T$16, IF(J77="Quận 11", Ward!$U$2:$V$17, IF(J77="Quận 12", Ward!$W$2:$X$12, IF(J77="Huyện Bình Chánh", Ward!$Y$2:$Z$17, IF(J77="Quận Bình Tân", Ward!$AA$2:$AB$11, IF(J77="Quận Bình Thạnh", Ward!$AC$2:$AD$21, IF(J77="Huyện Cần Giờ", Ward!$AE$2:$AF$8, IF(J77="Huyện Củ Chi", Ward!$AG$2:$AH$22, IF(J77="Quận Gò Vấp", Ward!$AI$2:$AJ$17, IF(J77="Huyện Hóc Môn", Ward!$AK$2:$AL$13, IF(J77="Huyện Nhà Bè", Ward!$AM$2:$AN$8, IF(J77="Quận Phú Nhuận", Ward!$AO$2:$AP$16, IF(J77="Quận Tân Bình", Ward!$AQ$2:$AR$16, IF(J77="Quận Tân Phú", Ward!$AS$2:$AT$12, IF(J77="Quận Thủ Đức", Ward!$AU$2:$AV$13)))))))))))))))))))))))), 2, FALSE), "")</f>
        <v>27595</v>
      </c>
      <c r="Y77" s="20">
        <f>IF(B77 &lt;&gt; "", VLOOKUP(B77, HospitalType!$A$2:$B$9, 2, FALSE), "")</f>
        <v>5</v>
      </c>
    </row>
    <row r="78" spans="1:25" ht="75" x14ac:dyDescent="0.25">
      <c r="A78" s="55" t="s">
        <v>1111</v>
      </c>
      <c r="B78" s="50" t="s">
        <v>317</v>
      </c>
      <c r="C78" s="50" t="s">
        <v>948</v>
      </c>
      <c r="D78" s="50" t="s">
        <v>1048</v>
      </c>
      <c r="E78" s="50" t="b">
        <v>0</v>
      </c>
      <c r="F78" s="50"/>
      <c r="G78" s="51" t="s">
        <v>1112</v>
      </c>
      <c r="H78" s="51" t="s">
        <v>1113</v>
      </c>
      <c r="I78" s="51" t="s">
        <v>12</v>
      </c>
      <c r="J78" s="51" t="s">
        <v>339</v>
      </c>
      <c r="K78" s="51" t="s">
        <v>446</v>
      </c>
      <c r="L78" s="51" t="s">
        <v>1114</v>
      </c>
      <c r="M78" s="51"/>
      <c r="N78" s="51"/>
      <c r="O78" s="51"/>
      <c r="P78" s="51"/>
      <c r="Q78" s="50"/>
      <c r="R78" s="52" t="s">
        <v>1054</v>
      </c>
      <c r="S78" s="52" t="s">
        <v>1055</v>
      </c>
      <c r="T78" s="52" t="s">
        <v>707</v>
      </c>
      <c r="U78" s="53" t="s">
        <v>1056</v>
      </c>
      <c r="V78" s="20">
        <f>IF(I78 &lt;&gt; "", VLOOKUP(I78, City!$A$1:$B$2, 2, FALSE), "" )</f>
        <v>79</v>
      </c>
      <c r="W78" s="20">
        <f>IF(J78 &lt;&gt; "", VLOOKUP(J78, District!$A$1:$B$25, 2, FALSE), "")</f>
        <v>777</v>
      </c>
      <c r="X78" s="21">
        <f>IF(K78 &lt;&gt; "", VLOOKUP(K78, IF(J78="Quận 1", Ward!$A$2:$B$11, IF(J78="Quận 2", Ward!$C$2:$D$12, IF(J78="Quận 3", Ward!$E$2:$F$15, IF(J78="Quận 4", Ward!$G$2:$H$16, IF(J78="Quận 5", Ward!$I$2:$J$16, IF(J78="Quận 6", Ward!$K$2:$L$15, IF(J78="Quận 7", Ward!$M$2:$N$11, IF(J78="Quận 8", Ward!$O$2:$P$17, IF(J78="Quận 9", Ward!$Q$2:$R$14, IF(J78="Quận 10", Ward!$S$2:$T$16, IF(J78="Quận 11", Ward!$U$2:$V$17, IF(J78="Quận 12", Ward!$W$2:$X$12, IF(J78="Huyện Bình Chánh", Ward!$Y$2:$Z$17, IF(J78="Quận Bình Tân", Ward!$AA$2:$AB$11, IF(J78="Quận Bình Thạnh", Ward!$AC$2:$AD$21, IF(J78="Huyện Cần Giờ", Ward!$AE$2:$AF$8, IF(J78="Huyện Củ Chi", Ward!$AG$2:$AH$22, IF(J78="Quận Gò Vấp", Ward!$AI$2:$AJ$17, IF(J78="Huyện Hóc Môn", Ward!$AK$2:$AL$13, IF(J78="Huyện Nhà Bè", Ward!$AM$2:$AN$8, IF(J78="Quận Phú Nhuận", Ward!$AO$2:$AP$16, IF(J78="Quận Tân Bình", Ward!$AQ$2:$AR$16, IF(J78="Quận Tân Phú", Ward!$AS$2:$AT$12, IF(J78="Quận Thủ Đức", Ward!$AU$2:$AV$13)))))))))))))))))))))))), 2, FALSE), "")</f>
        <v>27454</v>
      </c>
      <c r="Y78" s="20">
        <f>IF(B78 &lt;&gt; "", VLOOKUP(B78, HospitalType!$A$2:$B$9, 2, FALSE), "")</f>
        <v>5</v>
      </c>
    </row>
    <row r="79" spans="1:25" ht="75" x14ac:dyDescent="0.25">
      <c r="A79" s="55" t="s">
        <v>1115</v>
      </c>
      <c r="B79" s="50" t="s">
        <v>317</v>
      </c>
      <c r="C79" s="50" t="s">
        <v>1048</v>
      </c>
      <c r="D79" s="50" t="s">
        <v>1048</v>
      </c>
      <c r="E79" s="50" t="b">
        <v>0</v>
      </c>
      <c r="F79" s="50"/>
      <c r="G79" s="51" t="s">
        <v>1116</v>
      </c>
      <c r="H79" s="51" t="s">
        <v>1117</v>
      </c>
      <c r="I79" s="51" t="s">
        <v>12</v>
      </c>
      <c r="J79" s="51" t="s">
        <v>340</v>
      </c>
      <c r="K79" s="51" t="s">
        <v>377</v>
      </c>
      <c r="L79" s="51" t="s">
        <v>1118</v>
      </c>
      <c r="M79" s="51" t="s">
        <v>1119</v>
      </c>
      <c r="N79" s="51"/>
      <c r="O79" s="51" t="s">
        <v>1120</v>
      </c>
      <c r="P79" s="51"/>
      <c r="Q79" s="50"/>
      <c r="R79" s="52" t="s">
        <v>1054</v>
      </c>
      <c r="S79" s="52" t="s">
        <v>1055</v>
      </c>
      <c r="T79" s="52" t="s">
        <v>981</v>
      </c>
      <c r="U79" s="53" t="s">
        <v>1056</v>
      </c>
      <c r="V79" s="20">
        <f>IF(I79 &lt;&gt; "", VLOOKUP(I79, City!$A$1:$B$2, 2, FALSE), "" )</f>
        <v>79</v>
      </c>
      <c r="W79" s="20">
        <f>IF(J79 &lt;&gt; "", VLOOKUP(J79, District!$A$1:$B$25, 2, FALSE), "")</f>
        <v>765</v>
      </c>
      <c r="X79" s="21" t="str">
        <f>IF(K79 &lt;&gt; "", VLOOKUP(K79, IF(J79="Quận 1", Ward!$A$2:$B$11, IF(J79="Quận 2", Ward!$C$2:$D$12, IF(J79="Quận 3", Ward!$E$2:$F$15, IF(J79="Quận 4", Ward!$G$2:$H$16, IF(J79="Quận 5", Ward!$I$2:$J$16, IF(J79="Quận 6", Ward!$K$2:$L$15, IF(J79="Quận 7", Ward!$M$2:$N$11, IF(J79="Quận 8", Ward!$O$2:$P$17, IF(J79="Quận 9", Ward!$Q$2:$R$14, IF(J79="Quận 10", Ward!$S$2:$T$16, IF(J79="Quận 11", Ward!$U$2:$V$17, IF(J79="Quận 12", Ward!$W$2:$X$12, IF(J79="Huyện Bình Chánh", Ward!$Y$2:$Z$17, IF(J79="Quận Bình Tân", Ward!$AA$2:$AB$11, IF(J79="Quận Bình Thạnh", Ward!$AC$2:$AD$21, IF(J79="Huyện Cần Giờ", Ward!$AE$2:$AF$8, IF(J79="Huyện Củ Chi", Ward!$AG$2:$AH$22, IF(J79="Quận Gò Vấp", Ward!$AI$2:$AJ$17, IF(J79="Huyện Hóc Môn", Ward!$AK$2:$AL$13, IF(J79="Huyện Nhà Bè", Ward!$AM$2:$AN$8, IF(J79="Quận Phú Nhuận", Ward!$AO$2:$AP$16, IF(J79="Quận Tân Bình", Ward!$AQ$2:$AR$16, IF(J79="Quận Tân Phú", Ward!$AS$2:$AT$12, IF(J79="Quận Thủ Đức", Ward!$AU$2:$AV$13)))))))))))))))))))))))), 2, FALSE), "")</f>
        <v>26908</v>
      </c>
      <c r="Y79" s="20">
        <f>IF(B79 &lt;&gt; "", VLOOKUP(B79, HospitalType!$A$2:$B$9, 2, FALSE), "")</f>
        <v>5</v>
      </c>
    </row>
    <row r="80" spans="1:25" ht="75" x14ac:dyDescent="0.25">
      <c r="A80" s="55" t="s">
        <v>1121</v>
      </c>
      <c r="B80" s="50" t="s">
        <v>317</v>
      </c>
      <c r="C80" s="50" t="s">
        <v>1122</v>
      </c>
      <c r="D80" s="50" t="s">
        <v>1048</v>
      </c>
      <c r="E80" s="50" t="b">
        <v>0</v>
      </c>
      <c r="F80" s="50"/>
      <c r="G80" s="51"/>
      <c r="H80" s="51" t="s">
        <v>1123</v>
      </c>
      <c r="I80" s="51" t="s">
        <v>12</v>
      </c>
      <c r="J80" s="51" t="s">
        <v>421</v>
      </c>
      <c r="K80" s="51" t="s">
        <v>457</v>
      </c>
      <c r="L80" s="51" t="s">
        <v>1124</v>
      </c>
      <c r="M80" s="51"/>
      <c r="N80" s="51"/>
      <c r="O80" s="51" t="s">
        <v>1124</v>
      </c>
      <c r="P80" s="51"/>
      <c r="Q80" s="50"/>
      <c r="R80" s="52" t="s">
        <v>1054</v>
      </c>
      <c r="S80" s="52" t="s">
        <v>1055</v>
      </c>
      <c r="T80" s="52" t="s">
        <v>707</v>
      </c>
      <c r="U80" s="53" t="s">
        <v>1056</v>
      </c>
      <c r="V80" s="20">
        <f>IF(I80 &lt;&gt; "", VLOOKUP(I80, City!$A$1:$B$2, 2, FALSE), "" )</f>
        <v>79</v>
      </c>
      <c r="W80" s="20">
        <f>IF(J80 &lt;&gt; "", VLOOKUP(J80, District!$A$1:$B$25, 2, FALSE), "")</f>
        <v>787</v>
      </c>
      <c r="X80" s="21">
        <f>IF(K80 &lt;&gt; "", VLOOKUP(K80, IF(J80="Quận 1", Ward!$A$2:$B$11, IF(J80="Quận 2", Ward!$C$2:$D$12, IF(J80="Quận 3", Ward!$E$2:$F$15, IF(J80="Quận 4", Ward!$G$2:$H$16, IF(J80="Quận 5", Ward!$I$2:$J$16, IF(J80="Quận 6", Ward!$K$2:$L$15, IF(J80="Quận 7", Ward!$M$2:$N$11, IF(J80="Quận 8", Ward!$O$2:$P$17, IF(J80="Quận 9", Ward!$Q$2:$R$14, IF(J80="Quận 10", Ward!$S$2:$T$16, IF(J80="Quận 11", Ward!$U$2:$V$17, IF(J80="Quận 12", Ward!$W$2:$X$12, IF(J80="Huyện Bình Chánh", Ward!$Y$2:$Z$17, IF(J80="Quận Bình Tân", Ward!$AA$2:$AB$11, IF(J80="Quận Bình Thạnh", Ward!$AC$2:$AD$21, IF(J80="Huyện Cần Giờ", Ward!$AE$2:$AF$8, IF(J80="Huyện Củ Chi", Ward!$AG$2:$AH$22, IF(J80="Quận Gò Vấp", Ward!$AI$2:$AJ$17, IF(J80="Huyện Hóc Môn", Ward!$AK$2:$AL$13, IF(J80="Huyện Nhà Bè", Ward!$AM$2:$AN$8, IF(J80="Quận Phú Nhuận", Ward!$AO$2:$AP$16, IF(J80="Quận Tân Bình", Ward!$AQ$2:$AR$16, IF(J80="Quận Tân Phú", Ward!$AS$2:$AT$12, IF(J80="Quận Thủ Đức", Ward!$AU$2:$AV$13)))))))))))))))))))))))), 2, FALSE), "")</f>
        <v>27664</v>
      </c>
      <c r="Y80" s="20">
        <f>IF(B80 &lt;&gt; "", VLOOKUP(B80, HospitalType!$A$2:$B$9, 2, FALSE), "")</f>
        <v>5</v>
      </c>
    </row>
    <row r="81" spans="1:25" ht="75" x14ac:dyDescent="0.25">
      <c r="A81" s="55" t="s">
        <v>1125</v>
      </c>
      <c r="B81" s="50" t="s">
        <v>317</v>
      </c>
      <c r="C81" s="50" t="s">
        <v>1122</v>
      </c>
      <c r="D81" s="50" t="s">
        <v>1048</v>
      </c>
      <c r="E81" s="50" t="b">
        <v>0</v>
      </c>
      <c r="F81" s="50"/>
      <c r="G81" s="51" t="s">
        <v>1126</v>
      </c>
      <c r="H81" s="51" t="s">
        <v>1127</v>
      </c>
      <c r="I81" s="51" t="s">
        <v>12</v>
      </c>
      <c r="J81" s="51" t="s">
        <v>417</v>
      </c>
      <c r="K81" s="51" t="s">
        <v>465</v>
      </c>
      <c r="L81" s="51" t="s">
        <v>1128</v>
      </c>
      <c r="M81" s="51"/>
      <c r="N81" s="51"/>
      <c r="O81" s="51"/>
      <c r="P81" s="51"/>
      <c r="Q81" s="50"/>
      <c r="R81" s="52" t="s">
        <v>1054</v>
      </c>
      <c r="S81" s="52" t="s">
        <v>1055</v>
      </c>
      <c r="T81" s="52" t="s">
        <v>981</v>
      </c>
      <c r="U81" s="53" t="s">
        <v>1056</v>
      </c>
      <c r="V81" s="20">
        <f>IF(I81 &lt;&gt; "", VLOOKUP(I81, City!$A$1:$B$2, 2, FALSE), "" )</f>
        <v>79</v>
      </c>
      <c r="W81" s="20">
        <f>IF(J81 &lt;&gt; "", VLOOKUP(J81, District!$A$1:$B$25, 2, FALSE), "")</f>
        <v>783</v>
      </c>
      <c r="X81" s="21">
        <f>IF(K81 &lt;&gt; "", VLOOKUP(K81, IF(J81="Quận 1", Ward!$A$2:$B$11, IF(J81="Quận 2", Ward!$C$2:$D$12, IF(J81="Quận 3", Ward!$E$2:$F$15, IF(J81="Quận 4", Ward!$G$2:$H$16, IF(J81="Quận 5", Ward!$I$2:$J$16, IF(J81="Quận 6", Ward!$K$2:$L$15, IF(J81="Quận 7", Ward!$M$2:$N$11, IF(J81="Quận 8", Ward!$O$2:$P$17, IF(J81="Quận 9", Ward!$Q$2:$R$14, IF(J81="Quận 10", Ward!$S$2:$T$16, IF(J81="Quận 11", Ward!$U$2:$V$17, IF(J81="Quận 12", Ward!$W$2:$X$12, IF(J81="Huyện Bình Chánh", Ward!$Y$2:$Z$17, IF(J81="Quận Bình Tân", Ward!$AA$2:$AB$11, IF(J81="Quận Bình Thạnh", Ward!$AC$2:$AD$21, IF(J81="Huyện Cần Giờ", Ward!$AE$2:$AF$8, IF(J81="Huyện Củ Chi", Ward!$AG$2:$AH$22, IF(J81="Quận Gò Vấp", Ward!$AI$2:$AJ$17, IF(J81="Huyện Hóc Môn", Ward!$AK$2:$AL$13, IF(J81="Huyện Nhà Bè", Ward!$AM$2:$AN$8, IF(J81="Quận Phú Nhuận", Ward!$AO$2:$AP$16, IF(J81="Quận Tân Bình", Ward!$AQ$2:$AR$16, IF(J81="Quận Tân Phú", Ward!$AS$2:$AT$12, IF(J81="Quận Thủ Đức", Ward!$AU$2:$AV$13)))))))))))))))))))))))), 2, FALSE), "")</f>
        <v>27508</v>
      </c>
      <c r="Y81" s="20">
        <f>IF(B81 &lt;&gt; "", VLOOKUP(B81, HospitalType!$A$2:$B$9, 2, FALSE), "")</f>
        <v>5</v>
      </c>
    </row>
    <row r="82" spans="1:25" ht="75" x14ac:dyDescent="0.25">
      <c r="A82" s="55" t="s">
        <v>1129</v>
      </c>
      <c r="B82" s="50" t="s">
        <v>317</v>
      </c>
      <c r="C82" s="50" t="s">
        <v>948</v>
      </c>
      <c r="D82" s="50" t="s">
        <v>1048</v>
      </c>
      <c r="E82" s="50" t="b">
        <v>0</v>
      </c>
      <c r="F82" s="50"/>
      <c r="G82" s="51" t="s">
        <v>1130</v>
      </c>
      <c r="H82" s="51" t="s">
        <v>1131</v>
      </c>
      <c r="I82" s="51" t="s">
        <v>12</v>
      </c>
      <c r="J82" s="51" t="s">
        <v>341</v>
      </c>
      <c r="K82" s="51" t="s">
        <v>381</v>
      </c>
      <c r="L82" s="51" t="s">
        <v>1132</v>
      </c>
      <c r="M82" s="51"/>
      <c r="N82" s="51"/>
      <c r="O82" s="51"/>
      <c r="P82" s="51"/>
      <c r="Q82" s="50"/>
      <c r="R82" s="52" t="s">
        <v>1054</v>
      </c>
      <c r="S82" s="52" t="s">
        <v>1055</v>
      </c>
      <c r="T82" s="52" t="s">
        <v>981</v>
      </c>
      <c r="U82" s="53" t="s">
        <v>1062</v>
      </c>
      <c r="V82" s="20">
        <f>IF(I82 &lt;&gt; "", VLOOKUP(I82, City!$A$1:$B$2, 2, FALSE), "" )</f>
        <v>79</v>
      </c>
      <c r="W82" s="20">
        <f>IF(J82 &lt;&gt; "", VLOOKUP(J82, District!$A$1:$B$25, 2, FALSE), "")</f>
        <v>764</v>
      </c>
      <c r="X82" s="21" t="str">
        <f>IF(K82 &lt;&gt; "", VLOOKUP(K82, IF(J82="Quận 1", Ward!$A$2:$B$11, IF(J82="Quận 2", Ward!$C$2:$D$12, IF(J82="Quận 3", Ward!$E$2:$F$15, IF(J82="Quận 4", Ward!$G$2:$H$16, IF(J82="Quận 5", Ward!$I$2:$J$16, IF(J82="Quận 6", Ward!$K$2:$L$15, IF(J82="Quận 7", Ward!$M$2:$N$11, IF(J82="Quận 8", Ward!$O$2:$P$17, IF(J82="Quận 9", Ward!$Q$2:$R$14, IF(J82="Quận 10", Ward!$S$2:$T$16, IF(J82="Quận 11", Ward!$U$2:$V$17, IF(J82="Quận 12", Ward!$W$2:$X$12, IF(J82="Huyện Bình Chánh", Ward!$Y$2:$Z$17, IF(J82="Quận Bình Tân", Ward!$AA$2:$AB$11, IF(J82="Quận Bình Thạnh", Ward!$AC$2:$AD$21, IF(J82="Huyện Cần Giờ", Ward!$AE$2:$AF$8, IF(J82="Huyện Củ Chi", Ward!$AG$2:$AH$22, IF(J82="Quận Gò Vấp", Ward!$AI$2:$AJ$17, IF(J82="Huyện Hóc Môn", Ward!$AK$2:$AL$13, IF(J82="Huyện Nhà Bè", Ward!$AM$2:$AN$8, IF(J82="Quận Phú Nhuận", Ward!$AO$2:$AP$16, IF(J82="Quận Tân Bình", Ward!$AQ$2:$AR$16, IF(J82="Quận Tân Phú", Ward!$AS$2:$AT$12, IF(J82="Quận Thủ Đức", Ward!$AU$2:$AV$13)))))))))))))))))))))))), 2, FALSE), "")</f>
        <v>26869</v>
      </c>
      <c r="Y82" s="20">
        <f>IF(B82 &lt;&gt; "", VLOOKUP(B82, HospitalType!$A$2:$B$9, 2, FALSE), "")</f>
        <v>5</v>
      </c>
    </row>
    <row r="83" spans="1:25" ht="75" x14ac:dyDescent="0.25">
      <c r="A83" s="55" t="s">
        <v>1133</v>
      </c>
      <c r="B83" s="50" t="s">
        <v>317</v>
      </c>
      <c r="C83" s="50" t="s">
        <v>1122</v>
      </c>
      <c r="D83" s="50" t="s">
        <v>1048</v>
      </c>
      <c r="E83" s="50" t="b">
        <v>0</v>
      </c>
      <c r="F83" s="50"/>
      <c r="G83" s="51" t="s">
        <v>1134</v>
      </c>
      <c r="H83" s="51" t="s">
        <v>1135</v>
      </c>
      <c r="I83" s="51" t="s">
        <v>12</v>
      </c>
      <c r="J83" s="51" t="s">
        <v>418</v>
      </c>
      <c r="K83" s="51" t="s">
        <v>488</v>
      </c>
      <c r="L83" s="51" t="s">
        <v>1136</v>
      </c>
      <c r="M83" s="51"/>
      <c r="N83" s="51"/>
      <c r="O83" s="51"/>
      <c r="P83" s="51"/>
      <c r="Q83" s="50"/>
      <c r="R83" s="52" t="s">
        <v>1054</v>
      </c>
      <c r="S83" s="52" t="s">
        <v>1055</v>
      </c>
      <c r="T83" s="52" t="s">
        <v>707</v>
      </c>
      <c r="U83" s="53" t="s">
        <v>1056</v>
      </c>
      <c r="V83" s="20">
        <f>IF(I83 &lt;&gt; "", VLOOKUP(I83, City!$A$1:$B$2, 2, FALSE), "" )</f>
        <v>79</v>
      </c>
      <c r="W83" s="20">
        <f>IF(J83 &lt;&gt; "", VLOOKUP(J83, District!$A$1:$B$25, 2, FALSE), "")</f>
        <v>784</v>
      </c>
      <c r="X83" s="21">
        <f>IF(K83 &lt;&gt; "", VLOOKUP(K83, IF(J83="Quận 1", Ward!$A$2:$B$11, IF(J83="Quận 2", Ward!$C$2:$D$12, IF(J83="Quận 3", Ward!$E$2:$F$15, IF(J83="Quận 4", Ward!$G$2:$H$16, IF(J83="Quận 5", Ward!$I$2:$J$16, IF(J83="Quận 6", Ward!$K$2:$L$15, IF(J83="Quận 7", Ward!$M$2:$N$11, IF(J83="Quận 8", Ward!$O$2:$P$17, IF(J83="Quận 9", Ward!$Q$2:$R$14, IF(J83="Quận 10", Ward!$S$2:$T$16, IF(J83="Quận 11", Ward!$U$2:$V$17, IF(J83="Quận 12", Ward!$W$2:$X$12, IF(J83="Huyện Bình Chánh", Ward!$Y$2:$Z$17, IF(J83="Quận Bình Tân", Ward!$AA$2:$AB$11, IF(J83="Quận Bình Thạnh", Ward!$AC$2:$AD$21, IF(J83="Huyện Cần Giờ", Ward!$AE$2:$AF$8, IF(J83="Huyện Củ Chi", Ward!$AG$2:$AH$22, IF(J83="Quận Gò Vấp", Ward!$AI$2:$AJ$17, IF(J83="Huyện Hóc Môn", Ward!$AK$2:$AL$13, IF(J83="Huyện Nhà Bè", Ward!$AM$2:$AN$8, IF(J83="Quận Phú Nhuận", Ward!$AO$2:$AP$16, IF(J83="Quận Tân Bình", Ward!$AQ$2:$AR$16, IF(J83="Quận Tân Phú", Ward!$AS$2:$AT$12, IF(J83="Quận Thủ Đức", Ward!$AU$2:$AV$13)))))))))))))))))))))))), 2, FALSE), "")</f>
        <v>27559</v>
      </c>
      <c r="Y83" s="20">
        <f>IF(B83 &lt;&gt; "", VLOOKUP(B83, HospitalType!$A$2:$B$9, 2, FALSE), "")</f>
        <v>5</v>
      </c>
    </row>
    <row r="84" spans="1:25" ht="75" x14ac:dyDescent="0.25">
      <c r="A84" s="55" t="s">
        <v>420</v>
      </c>
      <c r="B84" s="50" t="s">
        <v>317</v>
      </c>
      <c r="C84" s="50" t="s">
        <v>1122</v>
      </c>
      <c r="D84" s="50" t="s">
        <v>1048</v>
      </c>
      <c r="E84" s="50" t="b">
        <v>0</v>
      </c>
      <c r="F84" s="50"/>
      <c r="G84" s="51" t="s">
        <v>1137</v>
      </c>
      <c r="H84" s="51" t="s">
        <v>1138</v>
      </c>
      <c r="I84" s="51" t="s">
        <v>12</v>
      </c>
      <c r="J84" s="51" t="s">
        <v>420</v>
      </c>
      <c r="K84" s="51" t="s">
        <v>505</v>
      </c>
      <c r="L84" s="51" t="s">
        <v>1139</v>
      </c>
      <c r="M84" s="51" t="s">
        <v>1140</v>
      </c>
      <c r="N84" s="51"/>
      <c r="O84" s="51" t="s">
        <v>1141</v>
      </c>
      <c r="P84" s="51"/>
      <c r="Q84" s="50"/>
      <c r="R84" s="52" t="s">
        <v>1054</v>
      </c>
      <c r="S84" s="52" t="s">
        <v>1055</v>
      </c>
      <c r="T84" s="52" t="s">
        <v>707</v>
      </c>
      <c r="U84" s="53" t="s">
        <v>1056</v>
      </c>
      <c r="V84" s="20">
        <f>IF(I84 &lt;&gt; "", VLOOKUP(I84, City!$A$1:$B$2, 2, FALSE), "" )</f>
        <v>79</v>
      </c>
      <c r="W84" s="20">
        <f>IF(J84 &lt;&gt; "", VLOOKUP(J84, District!$A$1:$B$25, 2, FALSE), "")</f>
        <v>786</v>
      </c>
      <c r="X84" s="21">
        <f>IF(K84 &lt;&gt; "", VLOOKUP(K84, IF(J84="Quận 1", Ward!$A$2:$B$11, IF(J84="Quận 2", Ward!$C$2:$D$12, IF(J84="Quận 3", Ward!$E$2:$F$15, IF(J84="Quận 4", Ward!$G$2:$H$16, IF(J84="Quận 5", Ward!$I$2:$J$16, IF(J84="Quận 6", Ward!$K$2:$L$15, IF(J84="Quận 7", Ward!$M$2:$N$11, IF(J84="Quận 8", Ward!$O$2:$P$17, IF(J84="Quận 9", Ward!$Q$2:$R$14, IF(J84="Quận 10", Ward!$S$2:$T$16, IF(J84="Quận 11", Ward!$U$2:$V$17, IF(J84="Quận 12", Ward!$W$2:$X$12, IF(J84="Huyện Bình Chánh", Ward!$Y$2:$Z$17, IF(J84="Quận Bình Tân", Ward!$AA$2:$AB$11, IF(J84="Quận Bình Thạnh", Ward!$AC$2:$AD$21, IF(J84="Huyện Cần Giờ", Ward!$AE$2:$AF$8, IF(J84="Huyện Củ Chi", Ward!$AG$2:$AH$22, IF(J84="Quận Gò Vấp", Ward!$AI$2:$AJ$17, IF(J84="Huyện Hóc Môn", Ward!$AK$2:$AL$13, IF(J84="Huyện Nhà Bè", Ward!$AM$2:$AN$8, IF(J84="Quận Phú Nhuận", Ward!$AO$2:$AP$16, IF(J84="Quận Tân Bình", Ward!$AQ$2:$AR$16, IF(J84="Quận Tân Phú", Ward!$AS$2:$AT$12, IF(J84="Quận Thủ Đức", Ward!$AU$2:$AV$13)))))))))))))))))))))))), 2, FALSE), "")</f>
        <v>27646</v>
      </c>
      <c r="Y84" s="20">
        <f>IF(B84 &lt;&gt; "", VLOOKUP(B84, HospitalType!$A$2:$B$9, 2, FALSE), "")</f>
        <v>5</v>
      </c>
    </row>
    <row r="85" spans="1:25" ht="75" x14ac:dyDescent="0.25">
      <c r="A85" s="55" t="s">
        <v>1142</v>
      </c>
      <c r="B85" s="50" t="s">
        <v>317</v>
      </c>
      <c r="C85" s="50" t="s">
        <v>1048</v>
      </c>
      <c r="D85" s="50" t="s">
        <v>1048</v>
      </c>
      <c r="E85" s="50" t="b">
        <v>0</v>
      </c>
      <c r="F85" s="50"/>
      <c r="G85" s="51" t="s">
        <v>1143</v>
      </c>
      <c r="H85" s="51" t="s">
        <v>1144</v>
      </c>
      <c r="I85" s="51" t="s">
        <v>12</v>
      </c>
      <c r="J85" s="51" t="s">
        <v>342</v>
      </c>
      <c r="K85" s="51" t="s">
        <v>374</v>
      </c>
      <c r="L85" s="51" t="s">
        <v>1145</v>
      </c>
      <c r="M85" s="51"/>
      <c r="N85" s="51"/>
      <c r="O85" s="51"/>
      <c r="P85" s="51"/>
      <c r="Q85" s="50"/>
      <c r="R85" s="52" t="s">
        <v>1054</v>
      </c>
      <c r="S85" s="52" t="s">
        <v>1055</v>
      </c>
      <c r="T85" s="52" t="s">
        <v>707</v>
      </c>
      <c r="U85" s="53" t="s">
        <v>1056</v>
      </c>
      <c r="V85" s="20">
        <f>IF(I85 &lt;&gt; "", VLOOKUP(I85, City!$A$1:$B$2, 2, FALSE), "" )</f>
        <v>79</v>
      </c>
      <c r="W85" s="20">
        <f>IF(J85 &lt;&gt; "", VLOOKUP(J85, District!$A$1:$B$25, 2, FALSE), "")</f>
        <v>768</v>
      </c>
      <c r="X85" s="21" t="str">
        <f>IF(K85 &lt;&gt; "", VLOOKUP(K85, IF(J85="Quận 1", Ward!$A$2:$B$11, IF(J85="Quận 2", Ward!$C$2:$D$12, IF(J85="Quận 3", Ward!$E$2:$F$15, IF(J85="Quận 4", Ward!$G$2:$H$16, IF(J85="Quận 5", Ward!$I$2:$J$16, IF(J85="Quận 6", Ward!$K$2:$L$15, IF(J85="Quận 7", Ward!$M$2:$N$11, IF(J85="Quận 8", Ward!$O$2:$P$17, IF(J85="Quận 9", Ward!$Q$2:$R$14, IF(J85="Quận 10", Ward!$S$2:$T$16, IF(J85="Quận 11", Ward!$U$2:$V$17, IF(J85="Quận 12", Ward!$W$2:$X$12, IF(J85="Huyện Bình Chánh", Ward!$Y$2:$Z$17, IF(J85="Quận Bình Tân", Ward!$AA$2:$AB$11, IF(J85="Quận Bình Thạnh", Ward!$AC$2:$AD$21, IF(J85="Huyện Cần Giờ", Ward!$AE$2:$AF$8, IF(J85="Huyện Củ Chi", Ward!$AG$2:$AH$22, IF(J85="Quận Gò Vấp", Ward!$AI$2:$AJ$17, IF(J85="Huyện Hóc Môn", Ward!$AK$2:$AL$13, IF(J85="Huyện Nhà Bè", Ward!$AM$2:$AN$8, IF(J85="Quận Phú Nhuận", Ward!$AO$2:$AP$16, IF(J85="Quận Tân Bình", Ward!$AQ$2:$AR$16, IF(J85="Quận Tân Phú", Ward!$AS$2:$AT$12, IF(J85="Quận Thủ Đức", Ward!$AU$2:$AV$13)))))))))))))))))))))))), 2, FALSE), "")</f>
        <v>27064</v>
      </c>
      <c r="Y85" s="20">
        <f>IF(B85 &lt;&gt; "", VLOOKUP(B85, HospitalType!$A$2:$B$9, 2, FALSE), "")</f>
        <v>5</v>
      </c>
    </row>
    <row r="86" spans="1:25" ht="75" x14ac:dyDescent="0.25">
      <c r="A86" s="55" t="s">
        <v>1146</v>
      </c>
      <c r="B86" s="50" t="s">
        <v>317</v>
      </c>
      <c r="C86" s="50" t="s">
        <v>1048</v>
      </c>
      <c r="D86" s="50" t="s">
        <v>1048</v>
      </c>
      <c r="E86" s="50" t="b">
        <v>0</v>
      </c>
      <c r="F86" s="50"/>
      <c r="G86" s="51" t="s">
        <v>1147</v>
      </c>
      <c r="H86" s="51" t="s">
        <v>1148</v>
      </c>
      <c r="I86" s="51" t="s">
        <v>12</v>
      </c>
      <c r="J86" s="51" t="s">
        <v>343</v>
      </c>
      <c r="K86" s="51" t="s">
        <v>370</v>
      </c>
      <c r="L86" s="51"/>
      <c r="M86" s="51"/>
      <c r="N86" s="51"/>
      <c r="O86" s="51"/>
      <c r="P86" s="51"/>
      <c r="Q86" s="50"/>
      <c r="R86" s="52" t="s">
        <v>1054</v>
      </c>
      <c r="S86" s="52" t="s">
        <v>1055</v>
      </c>
      <c r="T86" s="52" t="s">
        <v>708</v>
      </c>
      <c r="U86" s="53" t="s">
        <v>1056</v>
      </c>
      <c r="V86" s="20">
        <f>IF(I86 &lt;&gt; "", VLOOKUP(I86, City!$A$1:$B$2, 2, FALSE), "" )</f>
        <v>79</v>
      </c>
      <c r="W86" s="20">
        <f>IF(J86 &lt;&gt; "", VLOOKUP(J86, District!$A$1:$B$25, 2, FALSE), "")</f>
        <v>766</v>
      </c>
      <c r="X86" s="21" t="str">
        <f>IF(K86 &lt;&gt; "", VLOOKUP(K86, IF(J86="Quận 1", Ward!$A$2:$B$11, IF(J86="Quận 2", Ward!$C$2:$D$12, IF(J86="Quận 3", Ward!$E$2:$F$15, IF(J86="Quận 4", Ward!$G$2:$H$16, IF(J86="Quận 5", Ward!$I$2:$J$16, IF(J86="Quận 6", Ward!$K$2:$L$15, IF(J86="Quận 7", Ward!$M$2:$N$11, IF(J86="Quận 8", Ward!$O$2:$P$17, IF(J86="Quận 9", Ward!$Q$2:$R$14, IF(J86="Quận 10", Ward!$S$2:$T$16, IF(J86="Quận 11", Ward!$U$2:$V$17, IF(J86="Quận 12", Ward!$W$2:$X$12, IF(J86="Huyện Bình Chánh", Ward!$Y$2:$Z$17, IF(J86="Quận Bình Tân", Ward!$AA$2:$AB$11, IF(J86="Quận Bình Thạnh", Ward!$AC$2:$AD$21, IF(J86="Huyện Cần Giờ", Ward!$AE$2:$AF$8, IF(J86="Huyện Củ Chi", Ward!$AG$2:$AH$22, IF(J86="Quận Gò Vấp", Ward!$AI$2:$AJ$17, IF(J86="Huyện Hóc Môn", Ward!$AK$2:$AL$13, IF(J86="Huyện Nhà Bè", Ward!$AM$2:$AN$8, IF(J86="Quận Phú Nhuận", Ward!$AO$2:$AP$16, IF(J86="Quận Tân Bình", Ward!$AQ$2:$AR$16, IF(J86="Quận Tân Phú", Ward!$AS$2:$AT$12, IF(J86="Quận Thủ Đức", Ward!$AU$2:$AV$13)))))))))))))))))))))))), 2, FALSE), "")</f>
        <v>26968</v>
      </c>
      <c r="Y86" s="20">
        <f>IF(B86 &lt;&gt; "", VLOOKUP(B86, HospitalType!$A$2:$B$9, 2, FALSE), "")</f>
        <v>5</v>
      </c>
    </row>
    <row r="87" spans="1:25" ht="75" x14ac:dyDescent="0.25">
      <c r="A87" s="55" t="s">
        <v>1149</v>
      </c>
      <c r="B87" s="50" t="s">
        <v>317</v>
      </c>
      <c r="C87" s="50" t="s">
        <v>948</v>
      </c>
      <c r="D87" s="50" t="s">
        <v>1048</v>
      </c>
      <c r="E87" s="50" t="b">
        <v>0</v>
      </c>
      <c r="F87" s="50"/>
      <c r="G87" s="51" t="s">
        <v>1150</v>
      </c>
      <c r="H87" s="51" t="s">
        <v>1151</v>
      </c>
      <c r="I87" s="51" t="s">
        <v>12</v>
      </c>
      <c r="J87" s="51" t="s">
        <v>344</v>
      </c>
      <c r="K87" s="51" t="s">
        <v>507</v>
      </c>
      <c r="L87" s="51" t="s">
        <v>1152</v>
      </c>
      <c r="M87" s="51" t="s">
        <v>1153</v>
      </c>
      <c r="N87" s="51"/>
      <c r="O87" s="51" t="s">
        <v>1154</v>
      </c>
      <c r="P87" s="51"/>
      <c r="Q87" s="50"/>
      <c r="R87" s="52" t="s">
        <v>1054</v>
      </c>
      <c r="S87" s="52" t="s">
        <v>1055</v>
      </c>
      <c r="T87" s="52" t="s">
        <v>707</v>
      </c>
      <c r="U87" s="53" t="s">
        <v>1056</v>
      </c>
      <c r="V87" s="20">
        <f>IF(I87 &lt;&gt; "", VLOOKUP(I87, City!$A$1:$B$2, 2, FALSE), "" )</f>
        <v>79</v>
      </c>
      <c r="W87" s="20">
        <f>IF(J87 &lt;&gt; "", VLOOKUP(J87, District!$A$1:$B$25, 2, FALSE), "")</f>
        <v>767</v>
      </c>
      <c r="X87" s="21">
        <f>IF(K87 &lt;&gt; "", VLOOKUP(K87, IF(J87="Quận 1", Ward!$A$2:$B$11, IF(J87="Quận 2", Ward!$C$2:$D$12, IF(J87="Quận 3", Ward!$E$2:$F$15, IF(J87="Quận 4", Ward!$G$2:$H$16, IF(J87="Quận 5", Ward!$I$2:$J$16, IF(J87="Quận 6", Ward!$K$2:$L$15, IF(J87="Quận 7", Ward!$M$2:$N$11, IF(J87="Quận 8", Ward!$O$2:$P$17, IF(J87="Quận 9", Ward!$Q$2:$R$14, IF(J87="Quận 10", Ward!$S$2:$T$16, IF(J87="Quận 11", Ward!$U$2:$V$17, IF(J87="Quận 12", Ward!$W$2:$X$12, IF(J87="Huyện Bình Chánh", Ward!$Y$2:$Z$17, IF(J87="Quận Bình Tân", Ward!$AA$2:$AB$11, IF(J87="Quận Bình Thạnh", Ward!$AC$2:$AD$21, IF(J87="Huyện Cần Giờ", Ward!$AE$2:$AF$8, IF(J87="Huyện Củ Chi", Ward!$AG$2:$AH$22, IF(J87="Quận Gò Vấp", Ward!$AI$2:$AJ$17, IF(J87="Huyện Hóc Môn", Ward!$AK$2:$AL$13, IF(J87="Huyện Nhà Bè", Ward!$AM$2:$AN$8, IF(J87="Quận Phú Nhuận", Ward!$AO$2:$AP$16, IF(J87="Quận Tân Bình", Ward!$AQ$2:$AR$16, IF(J87="Quận Tân Phú", Ward!$AS$2:$AT$12, IF(J87="Quận Thủ Đức", Ward!$AU$2:$AV$13)))))))))))))))))))))))), 2, FALSE), "")</f>
        <v>27037</v>
      </c>
      <c r="Y87" s="20">
        <f>IF(B87 &lt;&gt; "", VLOOKUP(B87, HospitalType!$A$2:$B$9, 2, FALSE), "")</f>
        <v>5</v>
      </c>
    </row>
    <row r="88" spans="1:25" ht="75" x14ac:dyDescent="0.25">
      <c r="A88" s="55" t="s">
        <v>1155</v>
      </c>
      <c r="B88" s="50" t="s">
        <v>317</v>
      </c>
      <c r="C88" s="50" t="s">
        <v>948</v>
      </c>
      <c r="D88" s="50" t="s">
        <v>1048</v>
      </c>
      <c r="E88" s="50" t="b">
        <v>0</v>
      </c>
      <c r="F88" s="50"/>
      <c r="G88" s="51" t="s">
        <v>1156</v>
      </c>
      <c r="H88" s="51" t="s">
        <v>1157</v>
      </c>
      <c r="I88" s="51" t="s">
        <v>12</v>
      </c>
      <c r="J88" s="51" t="s">
        <v>345</v>
      </c>
      <c r="K88" s="51" t="s">
        <v>525</v>
      </c>
      <c r="L88" s="51" t="s">
        <v>1158</v>
      </c>
      <c r="M88" s="51"/>
      <c r="N88" s="51"/>
      <c r="O88" s="51" t="s">
        <v>1159</v>
      </c>
      <c r="P88" s="51"/>
      <c r="Q88" s="50"/>
      <c r="R88" s="52" t="s">
        <v>1054</v>
      </c>
      <c r="S88" s="52" t="s">
        <v>1055</v>
      </c>
      <c r="T88" s="52" t="s">
        <v>981</v>
      </c>
      <c r="U88" s="53" t="s">
        <v>1056</v>
      </c>
      <c r="V88" s="20">
        <f>IF(I88 &lt;&gt; "", VLOOKUP(I88, City!$A$1:$B$2, 2, FALSE), "" )</f>
        <v>79</v>
      </c>
      <c r="W88" s="20">
        <f>IF(J88 &lt;&gt; "", VLOOKUP(J88, District!$A$1:$B$25, 2, FALSE), "")</f>
        <v>762</v>
      </c>
      <c r="X88" s="21">
        <f>IF(K88 &lt;&gt; "", VLOOKUP(K88, IF(J88="Quận 1", Ward!$A$2:$B$11, IF(J88="Quận 2", Ward!$C$2:$D$12, IF(J88="Quận 3", Ward!$E$2:$F$15, IF(J88="Quận 4", Ward!$G$2:$H$16, IF(J88="Quận 5", Ward!$I$2:$J$16, IF(J88="Quận 6", Ward!$K$2:$L$15, IF(J88="Quận 7", Ward!$M$2:$N$11, IF(J88="Quận 8", Ward!$O$2:$P$17, IF(J88="Quận 9", Ward!$Q$2:$R$14, IF(J88="Quận 10", Ward!$S$2:$T$16, IF(J88="Quận 11", Ward!$U$2:$V$17, IF(J88="Quận 12", Ward!$W$2:$X$12, IF(J88="Huyện Bình Chánh", Ward!$Y$2:$Z$17, IF(J88="Quận Bình Tân", Ward!$AA$2:$AB$11, IF(J88="Quận Bình Thạnh", Ward!$AC$2:$AD$21, IF(J88="Huyện Cần Giờ", Ward!$AE$2:$AF$8, IF(J88="Huyện Củ Chi", Ward!$AG$2:$AH$22, IF(J88="Quận Gò Vấp", Ward!$AI$2:$AJ$17, IF(J88="Huyện Hóc Môn", Ward!$AK$2:$AL$13, IF(J88="Huyện Nhà Bè", Ward!$AM$2:$AN$8, IF(J88="Quận Phú Nhuận", Ward!$AO$2:$AP$16, IF(J88="Quận Tân Bình", Ward!$AQ$2:$AR$16, IF(J88="Quận Tân Phú", Ward!$AS$2:$AT$12, IF(J88="Quận Thủ Đức", Ward!$AU$2:$AV$13)))))))))))))))))))))))), 2, FALSE), "")</f>
        <v>26800</v>
      </c>
      <c r="Y88" s="20">
        <f>IF(B88 &lt;&gt; "", VLOOKUP(B88, HospitalType!$A$2:$B$9, 2, FALSE), "")</f>
        <v>5</v>
      </c>
    </row>
    <row r="89" spans="1:25" x14ac:dyDescent="0.25">
      <c r="A89" s="34"/>
      <c r="B89" s="24"/>
      <c r="C89" s="24"/>
      <c r="D89" s="24"/>
      <c r="E89" s="24"/>
      <c r="F89" s="24"/>
      <c r="G89" s="25"/>
      <c r="H89" s="25"/>
      <c r="I89" s="25"/>
      <c r="J89" s="25"/>
      <c r="K89" s="25"/>
      <c r="L89" s="25"/>
      <c r="M89" s="25"/>
      <c r="N89" s="25"/>
      <c r="O89" s="25"/>
      <c r="P89" s="25"/>
      <c r="Q89" s="24"/>
      <c r="R89" s="26"/>
      <c r="S89" s="26"/>
      <c r="T89" s="26"/>
      <c r="U89" s="27"/>
      <c r="V89" s="20" t="str">
        <f>IF(I89 &lt;&gt; "", VLOOKUP(I89, City!$A$1:$B$2, 2, FALSE), "" )</f>
        <v/>
      </c>
      <c r="W89" s="20" t="str">
        <f>IF(J89 &lt;&gt; "", VLOOKUP(J89, District!$A$1:$B$25, 2, FALSE), "")</f>
        <v/>
      </c>
      <c r="X89" s="21" t="str">
        <f>IF(K89 &lt;&gt; "", VLOOKUP(K89, IF(J89="Quận 1", Ward!$A$2:$B$11, IF(J89="Quận 2", Ward!$C$2:$D$12, IF(J89="Quận 3", Ward!$E$2:$F$15, IF(J89="Quận 4", Ward!$G$2:$H$16, IF(J89="Quận 5", Ward!$I$2:$J$16, IF(J89="Quận 6", Ward!$K$2:$L$15, IF(J89="Quận 7", Ward!$M$2:$N$11, IF(J89="Quận 8", Ward!$O$2:$P$17, IF(J89="Quận 9", Ward!$Q$2:$R$14, IF(J89="Quận 10", Ward!$S$2:$T$16, IF(J89="Quận 11", Ward!$U$2:$V$17, IF(J89="Quận 12", Ward!$W$2:$X$12, IF(J89="Huyện Bình Chánh", Ward!$Y$2:$Z$17, IF(J89="Quận Bình Tân", Ward!$AA$2:$AB$11, IF(J89="Quận Bình Thạnh", Ward!$AC$2:$AD$21, IF(J89="Huyện Cần Giờ", Ward!$AE$2:$AF$8, IF(J89="Huyện Củ Chi", Ward!$AG$2:$AH$22, IF(J89="Quận Gò Vấp", Ward!$AI$2:$AJ$17, IF(J89="Huyện Hóc Môn", Ward!$AK$2:$AL$13, IF(J89="Huyện Nhà Bè", Ward!$AM$2:$AN$8, IF(J89="Quận Phú Nhuận", Ward!$AO$2:$AP$16, IF(J89="Quận Tân Bình", Ward!$AQ$2:$AR$16, IF(J89="Quận Tân Phú", Ward!$AS$2:$AT$12, IF(J89="Quận Thủ Đức", Ward!$AU$2:$AV$13)))))))))))))))))))))))), 2, FALSE), "")</f>
        <v/>
      </c>
      <c r="Y89" s="20" t="str">
        <f>IF(B89 &lt;&gt; "", VLOOKUP(B89, HospitalType!$A$2:$B$9, 2, FALSE), "")</f>
        <v/>
      </c>
    </row>
    <row r="90" spans="1:25" x14ac:dyDescent="0.25">
      <c r="A90" s="34"/>
      <c r="B90" s="24"/>
      <c r="C90" s="24"/>
      <c r="D90" s="24"/>
      <c r="E90" s="24"/>
      <c r="F90" s="24"/>
      <c r="G90" s="25"/>
      <c r="H90" s="25"/>
      <c r="I90" s="25"/>
      <c r="J90" s="25"/>
      <c r="K90" s="25"/>
      <c r="L90" s="25"/>
      <c r="M90" s="25"/>
      <c r="N90" s="25"/>
      <c r="O90" s="25"/>
      <c r="P90" s="25"/>
      <c r="Q90" s="24"/>
      <c r="R90" s="26"/>
      <c r="S90" s="26"/>
      <c r="T90" s="26"/>
      <c r="U90" s="27"/>
      <c r="V90" s="20" t="str">
        <f>IF(I90 &lt;&gt; "", VLOOKUP(I90, City!$A$1:$B$2, 2, FALSE), "" )</f>
        <v/>
      </c>
      <c r="W90" s="20" t="str">
        <f>IF(J90 &lt;&gt; "", VLOOKUP(J90, District!$A$1:$B$25, 2, FALSE), "")</f>
        <v/>
      </c>
      <c r="X90" s="21" t="str">
        <f>IF(K90 &lt;&gt; "", VLOOKUP(K90, IF(J90="Quận 1", Ward!$A$2:$B$11, IF(J90="Quận 2", Ward!$C$2:$D$12, IF(J90="Quận 3", Ward!$E$2:$F$15, IF(J90="Quận 4", Ward!$G$2:$H$16, IF(J90="Quận 5", Ward!$I$2:$J$16, IF(J90="Quận 6", Ward!$K$2:$L$15, IF(J90="Quận 7", Ward!$M$2:$N$11, IF(J90="Quận 8", Ward!$O$2:$P$17, IF(J90="Quận 9", Ward!$Q$2:$R$14, IF(J90="Quận 10", Ward!$S$2:$T$16, IF(J90="Quận 11", Ward!$U$2:$V$17, IF(J90="Quận 12", Ward!$W$2:$X$12, IF(J90="Huyện Bình Chánh", Ward!$Y$2:$Z$17, IF(J90="Quận Bình Tân", Ward!$AA$2:$AB$11, IF(J90="Quận Bình Thạnh", Ward!$AC$2:$AD$21, IF(J90="Huyện Cần Giờ", Ward!$AE$2:$AF$8, IF(J90="Huyện Củ Chi", Ward!$AG$2:$AH$22, IF(J90="Quận Gò Vấp", Ward!$AI$2:$AJ$17, IF(J90="Huyện Hóc Môn", Ward!$AK$2:$AL$13, IF(J90="Huyện Nhà Bè", Ward!$AM$2:$AN$8, IF(J90="Quận Phú Nhuận", Ward!$AO$2:$AP$16, IF(J90="Quận Tân Bình", Ward!$AQ$2:$AR$16, IF(J90="Quận Tân Phú", Ward!$AS$2:$AT$12, IF(J90="Quận Thủ Đức", Ward!$AU$2:$AV$13)))))))))))))))))))))))), 2, FALSE), "")</f>
        <v/>
      </c>
      <c r="Y90" s="20" t="str">
        <f>IF(B90 &lt;&gt; "", VLOOKUP(B90, HospitalType!$A$2:$B$9, 2, FALSE), "")</f>
        <v/>
      </c>
    </row>
    <row r="91" spans="1:25" x14ac:dyDescent="0.25">
      <c r="A91" s="34"/>
      <c r="B91" s="24"/>
      <c r="C91" s="24"/>
      <c r="D91" s="24"/>
      <c r="E91" s="24"/>
      <c r="F91" s="24"/>
      <c r="G91" s="25"/>
      <c r="H91" s="25"/>
      <c r="I91" s="25"/>
      <c r="J91" s="25"/>
      <c r="K91" s="25"/>
      <c r="L91" s="25"/>
      <c r="M91" s="25"/>
      <c r="N91" s="25"/>
      <c r="O91" s="25"/>
      <c r="P91" s="25"/>
      <c r="Q91" s="24"/>
      <c r="R91" s="26"/>
      <c r="S91" s="26"/>
      <c r="T91" s="26"/>
      <c r="U91" s="27"/>
      <c r="V91" s="20" t="str">
        <f>IF(I91 &lt;&gt; "", VLOOKUP(I91, City!$A$1:$B$2, 2, FALSE), "" )</f>
        <v/>
      </c>
      <c r="W91" s="20" t="str">
        <f>IF(J91 &lt;&gt; "", VLOOKUP(J91, District!$A$1:$B$25, 2, FALSE), "")</f>
        <v/>
      </c>
      <c r="X91" s="21" t="str">
        <f>IF(K91 &lt;&gt; "", VLOOKUP(K91, IF(J91="Quận 1", Ward!$A$2:$B$11, IF(J91="Quận 2", Ward!$C$2:$D$12, IF(J91="Quận 3", Ward!$E$2:$F$15, IF(J91="Quận 4", Ward!$G$2:$H$16, IF(J91="Quận 5", Ward!$I$2:$J$16, IF(J91="Quận 6", Ward!$K$2:$L$15, IF(J91="Quận 7", Ward!$M$2:$N$11, IF(J91="Quận 8", Ward!$O$2:$P$17, IF(J91="Quận 9", Ward!$Q$2:$R$14, IF(J91="Quận 10", Ward!$S$2:$T$16, IF(J91="Quận 11", Ward!$U$2:$V$17, IF(J91="Quận 12", Ward!$W$2:$X$12, IF(J91="Huyện Bình Chánh", Ward!$Y$2:$Z$17, IF(J91="Quận Bình Tân", Ward!$AA$2:$AB$11, IF(J91="Quận Bình Thạnh", Ward!$AC$2:$AD$21, IF(J91="Huyện Cần Giờ", Ward!$AE$2:$AF$8, IF(J91="Huyện Củ Chi", Ward!$AG$2:$AH$22, IF(J91="Quận Gò Vấp", Ward!$AI$2:$AJ$17, IF(J91="Huyện Hóc Môn", Ward!$AK$2:$AL$13, IF(J91="Huyện Nhà Bè", Ward!$AM$2:$AN$8, IF(J91="Quận Phú Nhuận", Ward!$AO$2:$AP$16, IF(J91="Quận Tân Bình", Ward!$AQ$2:$AR$16, IF(J91="Quận Tân Phú", Ward!$AS$2:$AT$12, IF(J91="Quận Thủ Đức", Ward!$AU$2:$AV$13)))))))))))))))))))))))), 2, FALSE), "")</f>
        <v/>
      </c>
      <c r="Y91" s="20" t="str">
        <f>IF(B91 &lt;&gt; "", VLOOKUP(B91, HospitalType!$A$2:$B$9, 2, FALSE), "")</f>
        <v/>
      </c>
    </row>
    <row r="92" spans="1:25" x14ac:dyDescent="0.25">
      <c r="A92" s="34"/>
      <c r="B92" s="24"/>
      <c r="C92" s="24"/>
      <c r="D92" s="24"/>
      <c r="E92" s="24"/>
      <c r="F92" s="24"/>
      <c r="G92" s="25"/>
      <c r="H92" s="25"/>
      <c r="I92" s="25"/>
      <c r="J92" s="25"/>
      <c r="K92" s="25"/>
      <c r="L92" s="25"/>
      <c r="M92" s="25"/>
      <c r="N92" s="25"/>
      <c r="O92" s="25"/>
      <c r="P92" s="25"/>
      <c r="Q92" s="24"/>
      <c r="R92" s="26"/>
      <c r="S92" s="26"/>
      <c r="T92" s="26"/>
      <c r="U92" s="27"/>
      <c r="V92" s="20" t="str">
        <f>IF(I92 &lt;&gt; "", VLOOKUP(I92, City!$A$1:$B$2, 2, FALSE), "" )</f>
        <v/>
      </c>
      <c r="W92" s="20" t="str">
        <f>IF(J92 &lt;&gt; "", VLOOKUP(J92, District!$A$1:$B$25, 2, FALSE), "")</f>
        <v/>
      </c>
      <c r="X92" s="21" t="str">
        <f>IF(K92 &lt;&gt; "", VLOOKUP(K92, IF(J92="Quận 1", Ward!$A$2:$B$11, IF(J92="Quận 2", Ward!$C$2:$D$12, IF(J92="Quận 3", Ward!$E$2:$F$15, IF(J92="Quận 4", Ward!$G$2:$H$16, IF(J92="Quận 5", Ward!$I$2:$J$16, IF(J92="Quận 6", Ward!$K$2:$L$15, IF(J92="Quận 7", Ward!$M$2:$N$11, IF(J92="Quận 8", Ward!$O$2:$P$17, IF(J92="Quận 9", Ward!$Q$2:$R$14, IF(J92="Quận 10", Ward!$S$2:$T$16, IF(J92="Quận 11", Ward!$U$2:$V$17, IF(J92="Quận 12", Ward!$W$2:$X$12, IF(J92="Huyện Bình Chánh", Ward!$Y$2:$Z$17, IF(J92="Quận Bình Tân", Ward!$AA$2:$AB$11, IF(J92="Quận Bình Thạnh", Ward!$AC$2:$AD$21, IF(J92="Huyện Cần Giờ", Ward!$AE$2:$AF$8, IF(J92="Huyện Củ Chi", Ward!$AG$2:$AH$22, IF(J92="Quận Gò Vấp", Ward!$AI$2:$AJ$17, IF(J92="Huyện Hóc Môn", Ward!$AK$2:$AL$13, IF(J92="Huyện Nhà Bè", Ward!$AM$2:$AN$8, IF(J92="Quận Phú Nhuận", Ward!$AO$2:$AP$16, IF(J92="Quận Tân Bình", Ward!$AQ$2:$AR$16, IF(J92="Quận Tân Phú", Ward!$AS$2:$AT$12, IF(J92="Quận Thủ Đức", Ward!$AU$2:$AV$13)))))))))))))))))))))))), 2, FALSE), "")</f>
        <v/>
      </c>
      <c r="Y92" s="20" t="str">
        <f>IF(B92 &lt;&gt; "", VLOOKUP(B92, HospitalType!$A$2:$B$9, 2, FALSE), "")</f>
        <v/>
      </c>
    </row>
    <row r="93" spans="1:25" x14ac:dyDescent="0.25">
      <c r="A93" s="34"/>
      <c r="B93" s="24"/>
      <c r="C93" s="24"/>
      <c r="D93" s="24"/>
      <c r="E93" s="24"/>
      <c r="F93" s="24"/>
      <c r="G93" s="25"/>
      <c r="H93" s="25"/>
      <c r="I93" s="25"/>
      <c r="J93" s="25"/>
      <c r="K93" s="25"/>
      <c r="L93" s="25"/>
      <c r="M93" s="25"/>
      <c r="N93" s="25"/>
      <c r="O93" s="25"/>
      <c r="P93" s="25"/>
      <c r="Q93" s="24"/>
      <c r="R93" s="26"/>
      <c r="S93" s="26"/>
      <c r="T93" s="26"/>
      <c r="U93" s="27"/>
      <c r="V93" s="20" t="str">
        <f>IF(I93 &lt;&gt; "", VLOOKUP(I93, City!$A$1:$B$2, 2, FALSE), "" )</f>
        <v/>
      </c>
      <c r="W93" s="20" t="str">
        <f>IF(J93 &lt;&gt; "", VLOOKUP(J93, District!$A$1:$B$25, 2, FALSE), "")</f>
        <v/>
      </c>
      <c r="X93" s="21" t="str">
        <f>IF(K93 &lt;&gt; "", VLOOKUP(K93, IF(J93="Quận 1", Ward!$A$2:$B$11, IF(J93="Quận 2", Ward!$C$2:$D$12, IF(J93="Quận 3", Ward!$E$2:$F$15, IF(J93="Quận 4", Ward!$G$2:$H$16, IF(J93="Quận 5", Ward!$I$2:$J$16, IF(J93="Quận 6", Ward!$K$2:$L$15, IF(J93="Quận 7", Ward!$M$2:$N$11, IF(J93="Quận 8", Ward!$O$2:$P$17, IF(J93="Quận 9", Ward!$Q$2:$R$14, IF(J93="Quận 10", Ward!$S$2:$T$16, IF(J93="Quận 11", Ward!$U$2:$V$17, IF(J93="Quận 12", Ward!$W$2:$X$12, IF(J93="Huyện Bình Chánh", Ward!$Y$2:$Z$17, IF(J93="Quận Bình Tân", Ward!$AA$2:$AB$11, IF(J93="Quận Bình Thạnh", Ward!$AC$2:$AD$21, IF(J93="Huyện Cần Giờ", Ward!$AE$2:$AF$8, IF(J93="Huyện Củ Chi", Ward!$AG$2:$AH$22, IF(J93="Quận Gò Vấp", Ward!$AI$2:$AJ$17, IF(J93="Huyện Hóc Môn", Ward!$AK$2:$AL$13, IF(J93="Huyện Nhà Bè", Ward!$AM$2:$AN$8, IF(J93="Quận Phú Nhuận", Ward!$AO$2:$AP$16, IF(J93="Quận Tân Bình", Ward!$AQ$2:$AR$16, IF(J93="Quận Tân Phú", Ward!$AS$2:$AT$12, IF(J93="Quận Thủ Đức", Ward!$AU$2:$AV$13)))))))))))))))))))))))), 2, FALSE), "")</f>
        <v/>
      </c>
      <c r="Y93" s="20" t="str">
        <f>IF(B93 &lt;&gt; "", VLOOKUP(B93, HospitalType!$A$2:$B$9, 2, FALSE), "")</f>
        <v/>
      </c>
    </row>
    <row r="94" spans="1:25" x14ac:dyDescent="0.25">
      <c r="A94" s="34"/>
      <c r="B94" s="24"/>
      <c r="C94" s="24"/>
      <c r="D94" s="24"/>
      <c r="E94" s="24"/>
      <c r="F94" s="24"/>
      <c r="G94" s="25"/>
      <c r="H94" s="25"/>
      <c r="I94" s="25"/>
      <c r="J94" s="25"/>
      <c r="K94" s="25"/>
      <c r="L94" s="25"/>
      <c r="M94" s="25"/>
      <c r="N94" s="25"/>
      <c r="O94" s="25"/>
      <c r="P94" s="25"/>
      <c r="Q94" s="24"/>
      <c r="R94" s="26"/>
      <c r="S94" s="26"/>
      <c r="T94" s="26"/>
      <c r="U94" s="27"/>
      <c r="V94" s="20" t="str">
        <f>IF(I94 &lt;&gt; "", VLOOKUP(I94, City!$A$1:$B$2, 2, FALSE), "" )</f>
        <v/>
      </c>
      <c r="W94" s="20" t="str">
        <f>IF(J94 &lt;&gt; "", VLOOKUP(J94, District!$A$1:$B$25, 2, FALSE), "")</f>
        <v/>
      </c>
      <c r="X94" s="21" t="str">
        <f>IF(K94 &lt;&gt; "", VLOOKUP(K94, IF(J94="Quận 1", Ward!$A$2:$B$11, IF(J94="Quận 2", Ward!$C$2:$D$12, IF(J94="Quận 3", Ward!$E$2:$F$15, IF(J94="Quận 4", Ward!$G$2:$H$16, IF(J94="Quận 5", Ward!$I$2:$J$16, IF(J94="Quận 6", Ward!$K$2:$L$15, IF(J94="Quận 7", Ward!$M$2:$N$11, IF(J94="Quận 8", Ward!$O$2:$P$17, IF(J94="Quận 9", Ward!$Q$2:$R$14, IF(J94="Quận 10", Ward!$S$2:$T$16, IF(J94="Quận 11", Ward!$U$2:$V$17, IF(J94="Quận 12", Ward!$W$2:$X$12, IF(J94="Huyện Bình Chánh", Ward!$Y$2:$Z$17, IF(J94="Quận Bình Tân", Ward!$AA$2:$AB$11, IF(J94="Quận Bình Thạnh", Ward!$AC$2:$AD$21, IF(J94="Huyện Cần Giờ", Ward!$AE$2:$AF$8, IF(J94="Huyện Củ Chi", Ward!$AG$2:$AH$22, IF(J94="Quận Gò Vấp", Ward!$AI$2:$AJ$17, IF(J94="Huyện Hóc Môn", Ward!$AK$2:$AL$13, IF(J94="Huyện Nhà Bè", Ward!$AM$2:$AN$8, IF(J94="Quận Phú Nhuận", Ward!$AO$2:$AP$16, IF(J94="Quận Tân Bình", Ward!$AQ$2:$AR$16, IF(J94="Quận Tân Phú", Ward!$AS$2:$AT$12, IF(J94="Quận Thủ Đức", Ward!$AU$2:$AV$13)))))))))))))))))))))))), 2, FALSE), "")</f>
        <v/>
      </c>
      <c r="Y94" s="20" t="str">
        <f>IF(B94 &lt;&gt; "", VLOOKUP(B94, HospitalType!$A$2:$B$9, 2, FALSE), "")</f>
        <v/>
      </c>
    </row>
    <row r="95" spans="1:25" x14ac:dyDescent="0.25">
      <c r="A95" s="34"/>
      <c r="B95" s="24"/>
      <c r="C95" s="24"/>
      <c r="D95" s="24"/>
      <c r="E95" s="24"/>
      <c r="F95" s="24"/>
      <c r="G95" s="25"/>
      <c r="H95" s="25"/>
      <c r="I95" s="25"/>
      <c r="J95" s="25"/>
      <c r="K95" s="25"/>
      <c r="L95" s="25"/>
      <c r="M95" s="25"/>
      <c r="N95" s="25"/>
      <c r="O95" s="25"/>
      <c r="P95" s="25"/>
      <c r="Q95" s="24"/>
      <c r="R95" s="26"/>
      <c r="S95" s="26"/>
      <c r="T95" s="26"/>
      <c r="U95" s="27"/>
      <c r="V95" s="20" t="str">
        <f>IF(I95 &lt;&gt; "", VLOOKUP(I95, City!$A$1:$B$2, 2, FALSE), "" )</f>
        <v/>
      </c>
      <c r="W95" s="20" t="str">
        <f>IF(J95 &lt;&gt; "", VLOOKUP(J95, District!$A$1:$B$25, 2, FALSE), "")</f>
        <v/>
      </c>
      <c r="X95" s="21" t="str">
        <f>IF(K95 &lt;&gt; "", VLOOKUP(K95, IF(J95="Quận 1", Ward!$A$2:$B$11, IF(J95="Quận 2", Ward!$C$2:$D$12, IF(J95="Quận 3", Ward!$E$2:$F$15, IF(J95="Quận 4", Ward!$G$2:$H$16, IF(J95="Quận 5", Ward!$I$2:$J$16, IF(J95="Quận 6", Ward!$K$2:$L$15, IF(J95="Quận 7", Ward!$M$2:$N$11, IF(J95="Quận 8", Ward!$O$2:$P$17, IF(J95="Quận 9", Ward!$Q$2:$R$14, IF(J95="Quận 10", Ward!$S$2:$T$16, IF(J95="Quận 11", Ward!$U$2:$V$17, IF(J95="Quận 12", Ward!$W$2:$X$12, IF(J95="Huyện Bình Chánh", Ward!$Y$2:$Z$17, IF(J95="Quận Bình Tân", Ward!$AA$2:$AB$11, IF(J95="Quận Bình Thạnh", Ward!$AC$2:$AD$21, IF(J95="Huyện Cần Giờ", Ward!$AE$2:$AF$8, IF(J95="Huyện Củ Chi", Ward!$AG$2:$AH$22, IF(J95="Quận Gò Vấp", Ward!$AI$2:$AJ$17, IF(J95="Huyện Hóc Môn", Ward!$AK$2:$AL$13, IF(J95="Huyện Nhà Bè", Ward!$AM$2:$AN$8, IF(J95="Quận Phú Nhuận", Ward!$AO$2:$AP$16, IF(J95="Quận Tân Bình", Ward!$AQ$2:$AR$16, IF(J95="Quận Tân Phú", Ward!$AS$2:$AT$12, IF(J95="Quận Thủ Đức", Ward!$AU$2:$AV$13)))))))))))))))))))))))), 2, FALSE), "")</f>
        <v/>
      </c>
      <c r="Y95" s="20" t="str">
        <f>IF(B95 &lt;&gt; "", VLOOKUP(B95, HospitalType!$A$2:$B$9, 2, FALSE), "")</f>
        <v/>
      </c>
    </row>
    <row r="96" spans="1:25" x14ac:dyDescent="0.25">
      <c r="A96" s="34"/>
      <c r="B96" s="24"/>
      <c r="C96" s="24"/>
      <c r="D96" s="24"/>
      <c r="E96" s="24"/>
      <c r="F96" s="24"/>
      <c r="G96" s="25"/>
      <c r="H96" s="25"/>
      <c r="I96" s="25"/>
      <c r="J96" s="25"/>
      <c r="K96" s="25"/>
      <c r="L96" s="25"/>
      <c r="M96" s="25"/>
      <c r="N96" s="25"/>
      <c r="O96" s="25"/>
      <c r="P96" s="25"/>
      <c r="Q96" s="24"/>
      <c r="R96" s="26"/>
      <c r="S96" s="26"/>
      <c r="T96" s="26"/>
      <c r="U96" s="27"/>
      <c r="V96" s="20" t="str">
        <f>IF(I96 &lt;&gt; "", VLOOKUP(I96, City!$A$1:$B$2, 2, FALSE), "" )</f>
        <v/>
      </c>
      <c r="W96" s="20" t="str">
        <f>IF(J96 &lt;&gt; "", VLOOKUP(J96, District!$A$1:$B$25, 2, FALSE), "")</f>
        <v/>
      </c>
      <c r="X96" s="21" t="str">
        <f>IF(K96 &lt;&gt; "", VLOOKUP(K96, IF(J96="Quận 1", Ward!$A$2:$B$11, IF(J96="Quận 2", Ward!$C$2:$D$12, IF(J96="Quận 3", Ward!$E$2:$F$15, IF(J96="Quận 4", Ward!$G$2:$H$16, IF(J96="Quận 5", Ward!$I$2:$J$16, IF(J96="Quận 6", Ward!$K$2:$L$15, IF(J96="Quận 7", Ward!$M$2:$N$11, IF(J96="Quận 8", Ward!$O$2:$P$17, IF(J96="Quận 9", Ward!$Q$2:$R$14, IF(J96="Quận 10", Ward!$S$2:$T$16, IF(J96="Quận 11", Ward!$U$2:$V$17, IF(J96="Quận 12", Ward!$W$2:$X$12, IF(J96="Huyện Bình Chánh", Ward!$Y$2:$Z$17, IF(J96="Quận Bình Tân", Ward!$AA$2:$AB$11, IF(J96="Quận Bình Thạnh", Ward!$AC$2:$AD$21, IF(J96="Huyện Cần Giờ", Ward!$AE$2:$AF$8, IF(J96="Huyện Củ Chi", Ward!$AG$2:$AH$22, IF(J96="Quận Gò Vấp", Ward!$AI$2:$AJ$17, IF(J96="Huyện Hóc Môn", Ward!$AK$2:$AL$13, IF(J96="Huyện Nhà Bè", Ward!$AM$2:$AN$8, IF(J96="Quận Phú Nhuận", Ward!$AO$2:$AP$16, IF(J96="Quận Tân Bình", Ward!$AQ$2:$AR$16, IF(J96="Quận Tân Phú", Ward!$AS$2:$AT$12, IF(J96="Quận Thủ Đức", Ward!$AU$2:$AV$13)))))))))))))))))))))))), 2, FALSE), "")</f>
        <v/>
      </c>
      <c r="Y96" s="20" t="str">
        <f>IF(B96 &lt;&gt; "", VLOOKUP(B96, HospitalType!$A$2:$B$9, 2, FALSE), "")</f>
        <v/>
      </c>
    </row>
    <row r="97" spans="1:25" x14ac:dyDescent="0.25">
      <c r="A97" s="34"/>
      <c r="B97" s="24"/>
      <c r="C97" s="24"/>
      <c r="D97" s="24"/>
      <c r="E97" s="24"/>
      <c r="F97" s="24"/>
      <c r="G97" s="25"/>
      <c r="H97" s="25"/>
      <c r="I97" s="25"/>
      <c r="J97" s="25"/>
      <c r="K97" s="25"/>
      <c r="L97" s="25"/>
      <c r="M97" s="25"/>
      <c r="N97" s="25"/>
      <c r="O97" s="25"/>
      <c r="P97" s="25"/>
      <c r="Q97" s="24"/>
      <c r="R97" s="26"/>
      <c r="S97" s="26"/>
      <c r="T97" s="26"/>
      <c r="U97" s="27"/>
      <c r="V97" s="20" t="str">
        <f>IF(I97 &lt;&gt; "", VLOOKUP(I97, City!$A$1:$B$2, 2, FALSE), "" )</f>
        <v/>
      </c>
      <c r="W97" s="20" t="str">
        <f>IF(J97 &lt;&gt; "", VLOOKUP(J97, District!$A$1:$B$25, 2, FALSE), "")</f>
        <v/>
      </c>
      <c r="X97" s="21" t="str">
        <f>IF(K97 &lt;&gt; "", VLOOKUP(K97, IF(J97="Quận 1", Ward!$A$2:$B$11, IF(J97="Quận 2", Ward!$C$2:$D$12, IF(J97="Quận 3", Ward!$E$2:$F$15, IF(J97="Quận 4", Ward!$G$2:$H$16, IF(J97="Quận 5", Ward!$I$2:$J$16, IF(J97="Quận 6", Ward!$K$2:$L$15, IF(J97="Quận 7", Ward!$M$2:$N$11, IF(J97="Quận 8", Ward!$O$2:$P$17, IF(J97="Quận 9", Ward!$Q$2:$R$14, IF(J97="Quận 10", Ward!$S$2:$T$16, IF(J97="Quận 11", Ward!$U$2:$V$17, IF(J97="Quận 12", Ward!$W$2:$X$12, IF(J97="Huyện Bình Chánh", Ward!$Y$2:$Z$17, IF(J97="Quận Bình Tân", Ward!$AA$2:$AB$11, IF(J97="Quận Bình Thạnh", Ward!$AC$2:$AD$21, IF(J97="Huyện Cần Giờ", Ward!$AE$2:$AF$8, IF(J97="Huyện Củ Chi", Ward!$AG$2:$AH$22, IF(J97="Quận Gò Vấp", Ward!$AI$2:$AJ$17, IF(J97="Huyện Hóc Môn", Ward!$AK$2:$AL$13, IF(J97="Huyện Nhà Bè", Ward!$AM$2:$AN$8, IF(J97="Quận Phú Nhuận", Ward!$AO$2:$AP$16, IF(J97="Quận Tân Bình", Ward!$AQ$2:$AR$16, IF(J97="Quận Tân Phú", Ward!$AS$2:$AT$12, IF(J97="Quận Thủ Đức", Ward!$AU$2:$AV$13)))))))))))))))))))))))), 2, FALSE), "")</f>
        <v/>
      </c>
      <c r="Y97" s="20" t="str">
        <f>IF(B97 &lt;&gt; "", VLOOKUP(B97, HospitalType!$A$2:$B$9, 2, FALSE), "")</f>
        <v/>
      </c>
    </row>
    <row r="98" spans="1:25" x14ac:dyDescent="0.25">
      <c r="A98" s="34"/>
      <c r="B98" s="24"/>
      <c r="C98" s="24"/>
      <c r="D98" s="24"/>
      <c r="E98" s="24"/>
      <c r="F98" s="24"/>
      <c r="G98" s="25"/>
      <c r="H98" s="25"/>
      <c r="I98" s="25"/>
      <c r="J98" s="25"/>
      <c r="K98" s="25"/>
      <c r="L98" s="25"/>
      <c r="M98" s="25"/>
      <c r="N98" s="25"/>
      <c r="O98" s="25"/>
      <c r="P98" s="25"/>
      <c r="Q98" s="24"/>
      <c r="R98" s="26"/>
      <c r="S98" s="26"/>
      <c r="T98" s="26"/>
      <c r="U98" s="27"/>
      <c r="V98" s="20" t="str">
        <f>IF(I98 &lt;&gt; "", VLOOKUP(I98, City!$A$1:$B$2, 2, FALSE), "" )</f>
        <v/>
      </c>
      <c r="W98" s="20" t="str">
        <f>IF(J98 &lt;&gt; "", VLOOKUP(J98, District!$A$1:$B$25, 2, FALSE), "")</f>
        <v/>
      </c>
      <c r="X98" s="21" t="str">
        <f>IF(K98 &lt;&gt; "", VLOOKUP(K98, IF(J98="Quận 1", Ward!$A$2:$B$11, IF(J98="Quận 2", Ward!$C$2:$D$12, IF(J98="Quận 3", Ward!$E$2:$F$15, IF(J98="Quận 4", Ward!$G$2:$H$16, IF(J98="Quận 5", Ward!$I$2:$J$16, IF(J98="Quận 6", Ward!$K$2:$L$15, IF(J98="Quận 7", Ward!$M$2:$N$11, IF(J98="Quận 8", Ward!$O$2:$P$17, IF(J98="Quận 9", Ward!$Q$2:$R$14, IF(J98="Quận 10", Ward!$S$2:$T$16, IF(J98="Quận 11", Ward!$U$2:$V$17, IF(J98="Quận 12", Ward!$W$2:$X$12, IF(J98="Huyện Bình Chánh", Ward!$Y$2:$Z$17, IF(J98="Quận Bình Tân", Ward!$AA$2:$AB$11, IF(J98="Quận Bình Thạnh", Ward!$AC$2:$AD$21, IF(J98="Huyện Cần Giờ", Ward!$AE$2:$AF$8, IF(J98="Huyện Củ Chi", Ward!$AG$2:$AH$22, IF(J98="Quận Gò Vấp", Ward!$AI$2:$AJ$17, IF(J98="Huyện Hóc Môn", Ward!$AK$2:$AL$13, IF(J98="Huyện Nhà Bè", Ward!$AM$2:$AN$8, IF(J98="Quận Phú Nhuận", Ward!$AO$2:$AP$16, IF(J98="Quận Tân Bình", Ward!$AQ$2:$AR$16, IF(J98="Quận Tân Phú", Ward!$AS$2:$AT$12, IF(J98="Quận Thủ Đức", Ward!$AU$2:$AV$13)))))))))))))))))))))))), 2, FALSE), "")</f>
        <v/>
      </c>
      <c r="Y98" s="20" t="str">
        <f>IF(B98 &lt;&gt; "", VLOOKUP(B98, HospitalType!$A$2:$B$9, 2, FALSE), "")</f>
        <v/>
      </c>
    </row>
    <row r="99" spans="1:25" x14ac:dyDescent="0.25">
      <c r="A99" s="34"/>
      <c r="B99" s="24"/>
      <c r="C99" s="24"/>
      <c r="D99" s="24"/>
      <c r="E99" s="24"/>
      <c r="F99" s="24"/>
      <c r="G99" s="25"/>
      <c r="H99" s="25"/>
      <c r="I99" s="25"/>
      <c r="J99" s="25"/>
      <c r="K99" s="25"/>
      <c r="L99" s="25"/>
      <c r="M99" s="25"/>
      <c r="N99" s="25"/>
      <c r="O99" s="25"/>
      <c r="P99" s="25"/>
      <c r="Q99" s="24"/>
      <c r="R99" s="26"/>
      <c r="S99" s="26"/>
      <c r="T99" s="26"/>
      <c r="U99" s="27"/>
      <c r="V99" s="20" t="str">
        <f>IF(I99 &lt;&gt; "", VLOOKUP(I99, City!$A$1:$B$2, 2, FALSE), "" )</f>
        <v/>
      </c>
      <c r="W99" s="20" t="str">
        <f>IF(J99 &lt;&gt; "", VLOOKUP(J99, District!$A$1:$B$25, 2, FALSE), "")</f>
        <v/>
      </c>
      <c r="X99" s="21" t="str">
        <f>IF(K99 &lt;&gt; "", VLOOKUP(K99, IF(J99="Quận 1", Ward!$A$2:$B$11, IF(J99="Quận 2", Ward!$C$2:$D$12, IF(J99="Quận 3", Ward!$E$2:$F$15, IF(J99="Quận 4", Ward!$G$2:$H$16, IF(J99="Quận 5", Ward!$I$2:$J$16, IF(J99="Quận 6", Ward!$K$2:$L$15, IF(J99="Quận 7", Ward!$M$2:$N$11, IF(J99="Quận 8", Ward!$O$2:$P$17, IF(J99="Quận 9", Ward!$Q$2:$R$14, IF(J99="Quận 10", Ward!$S$2:$T$16, IF(J99="Quận 11", Ward!$U$2:$V$17, IF(J99="Quận 12", Ward!$W$2:$X$12, IF(J99="Huyện Bình Chánh", Ward!$Y$2:$Z$17, IF(J99="Quận Bình Tân", Ward!$AA$2:$AB$11, IF(J99="Quận Bình Thạnh", Ward!$AC$2:$AD$21, IF(J99="Huyện Cần Giờ", Ward!$AE$2:$AF$8, IF(J99="Huyện Củ Chi", Ward!$AG$2:$AH$22, IF(J99="Quận Gò Vấp", Ward!$AI$2:$AJ$17, IF(J99="Huyện Hóc Môn", Ward!$AK$2:$AL$13, IF(J99="Huyện Nhà Bè", Ward!$AM$2:$AN$8, IF(J99="Quận Phú Nhuận", Ward!$AO$2:$AP$16, IF(J99="Quận Tân Bình", Ward!$AQ$2:$AR$16, IF(J99="Quận Tân Phú", Ward!$AS$2:$AT$12, IF(J99="Quận Thủ Đức", Ward!$AU$2:$AV$13)))))))))))))))))))))))), 2, FALSE), "")</f>
        <v/>
      </c>
      <c r="Y99" s="20" t="str">
        <f>IF(B99 &lt;&gt; "", VLOOKUP(B99, HospitalType!$A$2:$B$9, 2, FALSE), "")</f>
        <v/>
      </c>
    </row>
    <row r="100" spans="1:25" x14ac:dyDescent="0.25">
      <c r="A100" s="34"/>
      <c r="B100" s="24"/>
      <c r="C100" s="24"/>
      <c r="D100" s="24"/>
      <c r="E100" s="24"/>
      <c r="F100" s="24"/>
      <c r="G100" s="25"/>
      <c r="H100" s="25"/>
      <c r="I100" s="25"/>
      <c r="J100" s="25"/>
      <c r="K100" s="25"/>
      <c r="L100" s="25"/>
      <c r="M100" s="25"/>
      <c r="N100" s="25"/>
      <c r="O100" s="25"/>
      <c r="P100" s="25"/>
      <c r="Q100" s="24"/>
      <c r="R100" s="26"/>
      <c r="S100" s="26"/>
      <c r="T100" s="26"/>
      <c r="U100" s="27"/>
      <c r="V100" s="20" t="str">
        <f>IF(I100 &lt;&gt; "", VLOOKUP(I100, City!$A$1:$B$2, 2, FALSE), "" )</f>
        <v/>
      </c>
      <c r="W100" s="20" t="str">
        <f>IF(J100 &lt;&gt; "", VLOOKUP(J100, District!$A$1:$B$25, 2, FALSE), "")</f>
        <v/>
      </c>
      <c r="X100" s="21" t="str">
        <f>IF(K100 &lt;&gt; "", VLOOKUP(K100, IF(J100="Quận 1", Ward!$A$2:$B$11, IF(J100="Quận 2", Ward!$C$2:$D$12, IF(J100="Quận 3", Ward!$E$2:$F$15, IF(J100="Quận 4", Ward!$G$2:$H$16, IF(J100="Quận 5", Ward!$I$2:$J$16, IF(J100="Quận 6", Ward!$K$2:$L$15, IF(J100="Quận 7", Ward!$M$2:$N$11, IF(J100="Quận 8", Ward!$O$2:$P$17, IF(J100="Quận 9", Ward!$Q$2:$R$14, IF(J100="Quận 10", Ward!$S$2:$T$16, IF(J100="Quận 11", Ward!$U$2:$V$17, IF(J100="Quận 12", Ward!$W$2:$X$12, IF(J100="Huyện Bình Chánh", Ward!$Y$2:$Z$17, IF(J100="Quận Bình Tân", Ward!$AA$2:$AB$11, IF(J100="Quận Bình Thạnh", Ward!$AC$2:$AD$21, IF(J100="Huyện Cần Giờ", Ward!$AE$2:$AF$8, IF(J100="Huyện Củ Chi", Ward!$AG$2:$AH$22, IF(J100="Quận Gò Vấp", Ward!$AI$2:$AJ$17, IF(J100="Huyện Hóc Môn", Ward!$AK$2:$AL$13, IF(J100="Huyện Nhà Bè", Ward!$AM$2:$AN$8, IF(J100="Quận Phú Nhuận", Ward!$AO$2:$AP$16, IF(J100="Quận Tân Bình", Ward!$AQ$2:$AR$16, IF(J100="Quận Tân Phú", Ward!$AS$2:$AT$12, IF(J100="Quận Thủ Đức", Ward!$AU$2:$AV$13)))))))))))))))))))))))), 2, FALSE), "")</f>
        <v/>
      </c>
      <c r="Y100" s="20" t="str">
        <f>IF(B100 &lt;&gt; "", VLOOKUP(B100, HospitalType!$A$2:$B$9, 2, FALSE), "")</f>
        <v/>
      </c>
    </row>
    <row r="101" spans="1:25" x14ac:dyDescent="0.25">
      <c r="A101" s="34"/>
      <c r="B101" s="24"/>
      <c r="C101" s="24"/>
      <c r="D101" s="24"/>
      <c r="E101" s="24"/>
      <c r="F101" s="24"/>
      <c r="G101" s="25"/>
      <c r="H101" s="25"/>
      <c r="I101" s="25"/>
      <c r="J101" s="25"/>
      <c r="K101" s="25"/>
      <c r="L101" s="25"/>
      <c r="M101" s="25"/>
      <c r="N101" s="25"/>
      <c r="O101" s="25"/>
      <c r="P101" s="25"/>
      <c r="Q101" s="24"/>
      <c r="R101" s="26"/>
      <c r="S101" s="26"/>
      <c r="T101" s="26"/>
      <c r="U101" s="27"/>
      <c r="V101" s="20" t="str">
        <f>IF(I101 &lt;&gt; "", VLOOKUP(I101, City!$A$1:$B$2, 2, FALSE), "" )</f>
        <v/>
      </c>
      <c r="W101" s="20" t="str">
        <f>IF(J101 &lt;&gt; "", VLOOKUP(J101, District!$A$1:$B$25, 2, FALSE), "")</f>
        <v/>
      </c>
      <c r="X101" s="21" t="str">
        <f>IF(K101 &lt;&gt; "", VLOOKUP(K101, IF(J101="Quận 1", Ward!$A$2:$B$11, IF(J101="Quận 2", Ward!$C$2:$D$12, IF(J101="Quận 3", Ward!$E$2:$F$15, IF(J101="Quận 4", Ward!$G$2:$H$16, IF(J101="Quận 5", Ward!$I$2:$J$16, IF(J101="Quận 6", Ward!$K$2:$L$15, IF(J101="Quận 7", Ward!$M$2:$N$11, IF(J101="Quận 8", Ward!$O$2:$P$17, IF(J101="Quận 9", Ward!$Q$2:$R$14, IF(J101="Quận 10", Ward!$S$2:$T$16, IF(J101="Quận 11", Ward!$U$2:$V$17, IF(J101="Quận 12", Ward!$W$2:$X$12, IF(J101="Huyện Bình Chánh", Ward!$Y$2:$Z$17, IF(J101="Quận Bình Tân", Ward!$AA$2:$AB$11, IF(J101="Quận Bình Thạnh", Ward!$AC$2:$AD$21, IF(J101="Huyện Cần Giờ", Ward!$AE$2:$AF$8, IF(J101="Huyện Củ Chi", Ward!$AG$2:$AH$22, IF(J101="Quận Gò Vấp", Ward!$AI$2:$AJ$17, IF(J101="Huyện Hóc Môn", Ward!$AK$2:$AL$13, IF(J101="Huyện Nhà Bè", Ward!$AM$2:$AN$8, IF(J101="Quận Phú Nhuận", Ward!$AO$2:$AP$16, IF(J101="Quận Tân Bình", Ward!$AQ$2:$AR$16, IF(J101="Quận Tân Phú", Ward!$AS$2:$AT$12, IF(J101="Quận Thủ Đức", Ward!$AU$2:$AV$13)))))))))))))))))))))))), 2, FALSE), "")</f>
        <v/>
      </c>
      <c r="Y101" s="20" t="str">
        <f>IF(B101 &lt;&gt; "", VLOOKUP(B101, HospitalType!$A$2:$B$9, 2, FALSE), "")</f>
        <v/>
      </c>
    </row>
    <row r="102" spans="1:25" x14ac:dyDescent="0.25">
      <c r="A102" s="34"/>
      <c r="B102" s="24"/>
      <c r="C102" s="24"/>
      <c r="D102" s="24"/>
      <c r="E102" s="24"/>
      <c r="F102" s="24"/>
      <c r="G102" s="25"/>
      <c r="H102" s="25"/>
      <c r="I102" s="25"/>
      <c r="J102" s="25"/>
      <c r="K102" s="25"/>
      <c r="L102" s="25"/>
      <c r="M102" s="25"/>
      <c r="N102" s="25"/>
      <c r="O102" s="25"/>
      <c r="P102" s="25"/>
      <c r="Q102" s="24"/>
      <c r="R102" s="26"/>
      <c r="S102" s="26"/>
      <c r="T102" s="26"/>
      <c r="U102" s="27"/>
      <c r="V102" s="20" t="str">
        <f>IF(I102 &lt;&gt; "", VLOOKUP(I102, City!$A$1:$B$2, 2, FALSE), "" )</f>
        <v/>
      </c>
      <c r="W102" s="20" t="str">
        <f>IF(J102 &lt;&gt; "", VLOOKUP(J102, District!$A$1:$B$25, 2, FALSE), "")</f>
        <v/>
      </c>
      <c r="X102" s="21" t="str">
        <f>IF(K102 &lt;&gt; "", VLOOKUP(K102, IF(J102="Quận 1", Ward!$A$2:$B$11, IF(J102="Quận 2", Ward!$C$2:$D$12, IF(J102="Quận 3", Ward!$E$2:$F$15, IF(J102="Quận 4", Ward!$G$2:$H$16, IF(J102="Quận 5", Ward!$I$2:$J$16, IF(J102="Quận 6", Ward!$K$2:$L$15, IF(J102="Quận 7", Ward!$M$2:$N$11, IF(J102="Quận 8", Ward!$O$2:$P$17, IF(J102="Quận 9", Ward!$Q$2:$R$14, IF(J102="Quận 10", Ward!$S$2:$T$16, IF(J102="Quận 11", Ward!$U$2:$V$17, IF(J102="Quận 12", Ward!$W$2:$X$12, IF(J102="Huyện Bình Chánh", Ward!$Y$2:$Z$17, IF(J102="Quận Bình Tân", Ward!$AA$2:$AB$11, IF(J102="Quận Bình Thạnh", Ward!$AC$2:$AD$21, IF(J102="Huyện Cần Giờ", Ward!$AE$2:$AF$8, IF(J102="Huyện Củ Chi", Ward!$AG$2:$AH$22, IF(J102="Quận Gò Vấp", Ward!$AI$2:$AJ$17, IF(J102="Huyện Hóc Môn", Ward!$AK$2:$AL$13, IF(J102="Huyện Nhà Bè", Ward!$AM$2:$AN$8, IF(J102="Quận Phú Nhuận", Ward!$AO$2:$AP$16, IF(J102="Quận Tân Bình", Ward!$AQ$2:$AR$16, IF(J102="Quận Tân Phú", Ward!$AS$2:$AT$12, IF(J102="Quận Thủ Đức", Ward!$AU$2:$AV$13)))))))))))))))))))))))), 2, FALSE), "")</f>
        <v/>
      </c>
      <c r="Y102" s="20" t="str">
        <f>IF(B102 &lt;&gt; "", VLOOKUP(B102, HospitalType!$A$2:$B$9, 2, FALSE), "")</f>
        <v/>
      </c>
    </row>
    <row r="103" spans="1:25" x14ac:dyDescent="0.25">
      <c r="A103" s="34"/>
      <c r="B103" s="24"/>
      <c r="C103" s="24"/>
      <c r="D103" s="24"/>
      <c r="E103" s="24"/>
      <c r="F103" s="24"/>
      <c r="G103" s="25"/>
      <c r="H103" s="25"/>
      <c r="I103" s="25"/>
      <c r="J103" s="25"/>
      <c r="K103" s="25"/>
      <c r="L103" s="25"/>
      <c r="M103" s="25"/>
      <c r="N103" s="25"/>
      <c r="O103" s="25"/>
      <c r="P103" s="25"/>
      <c r="Q103" s="24"/>
      <c r="R103" s="26"/>
      <c r="S103" s="26"/>
      <c r="T103" s="26"/>
      <c r="U103" s="27"/>
      <c r="V103" s="20" t="str">
        <f>IF(I103 &lt;&gt; "", VLOOKUP(I103, City!$A$1:$B$2, 2, FALSE), "" )</f>
        <v/>
      </c>
      <c r="W103" s="20" t="str">
        <f>IF(J103 &lt;&gt; "", VLOOKUP(J103, District!$A$1:$B$25, 2, FALSE), "")</f>
        <v/>
      </c>
      <c r="X103" s="21" t="str">
        <f>IF(K103 &lt;&gt; "", VLOOKUP(K103, IF(J103="Quận 1", Ward!$A$2:$B$11, IF(J103="Quận 2", Ward!$C$2:$D$12, IF(J103="Quận 3", Ward!$E$2:$F$15, IF(J103="Quận 4", Ward!$G$2:$H$16, IF(J103="Quận 5", Ward!$I$2:$J$16, IF(J103="Quận 6", Ward!$K$2:$L$15, IF(J103="Quận 7", Ward!$M$2:$N$11, IF(J103="Quận 8", Ward!$O$2:$P$17, IF(J103="Quận 9", Ward!$Q$2:$R$14, IF(J103="Quận 10", Ward!$S$2:$T$16, IF(J103="Quận 11", Ward!$U$2:$V$17, IF(J103="Quận 12", Ward!$W$2:$X$12, IF(J103="Huyện Bình Chánh", Ward!$Y$2:$Z$17, IF(J103="Quận Bình Tân", Ward!$AA$2:$AB$11, IF(J103="Quận Bình Thạnh", Ward!$AC$2:$AD$21, IF(J103="Huyện Cần Giờ", Ward!$AE$2:$AF$8, IF(J103="Huyện Củ Chi", Ward!$AG$2:$AH$22, IF(J103="Quận Gò Vấp", Ward!$AI$2:$AJ$17, IF(J103="Huyện Hóc Môn", Ward!$AK$2:$AL$13, IF(J103="Huyện Nhà Bè", Ward!$AM$2:$AN$8, IF(J103="Quận Phú Nhuận", Ward!$AO$2:$AP$16, IF(J103="Quận Tân Bình", Ward!$AQ$2:$AR$16, IF(J103="Quận Tân Phú", Ward!$AS$2:$AT$12, IF(J103="Quận Thủ Đức", Ward!$AU$2:$AV$13)))))))))))))))))))))))), 2, FALSE), "")</f>
        <v/>
      </c>
      <c r="Y103" s="20" t="str">
        <f>IF(B103 &lt;&gt; "", VLOOKUP(B103, HospitalType!$A$2:$B$9, 2, FALSE), "")</f>
        <v/>
      </c>
    </row>
    <row r="104" spans="1:25" x14ac:dyDescent="0.25">
      <c r="A104" s="34"/>
      <c r="B104" s="24"/>
      <c r="C104" s="24"/>
      <c r="D104" s="24"/>
      <c r="E104" s="24"/>
      <c r="F104" s="24"/>
      <c r="G104" s="25"/>
      <c r="H104" s="25"/>
      <c r="I104" s="25"/>
      <c r="J104" s="25"/>
      <c r="K104" s="25"/>
      <c r="L104" s="25"/>
      <c r="M104" s="25"/>
      <c r="N104" s="25"/>
      <c r="O104" s="25"/>
      <c r="P104" s="25"/>
      <c r="Q104" s="24"/>
      <c r="R104" s="26"/>
      <c r="S104" s="26"/>
      <c r="T104" s="26"/>
      <c r="U104" s="27"/>
      <c r="V104" s="20" t="str">
        <f>IF(I104 &lt;&gt; "", VLOOKUP(I104, City!$A$1:$B$2, 2, FALSE), "" )</f>
        <v/>
      </c>
      <c r="W104" s="20" t="str">
        <f>IF(J104 &lt;&gt; "", VLOOKUP(J104, District!$A$1:$B$25, 2, FALSE), "")</f>
        <v/>
      </c>
      <c r="X104" s="21" t="str">
        <f>IF(K104 &lt;&gt; "", VLOOKUP(K104, IF(J104="Quận 1", Ward!$A$2:$B$11, IF(J104="Quận 2", Ward!$C$2:$D$12, IF(J104="Quận 3", Ward!$E$2:$F$15, IF(J104="Quận 4", Ward!$G$2:$H$16, IF(J104="Quận 5", Ward!$I$2:$J$16, IF(J104="Quận 6", Ward!$K$2:$L$15, IF(J104="Quận 7", Ward!$M$2:$N$11, IF(J104="Quận 8", Ward!$O$2:$P$17, IF(J104="Quận 9", Ward!$Q$2:$R$14, IF(J104="Quận 10", Ward!$S$2:$T$16, IF(J104="Quận 11", Ward!$U$2:$V$17, IF(J104="Quận 12", Ward!$W$2:$X$12, IF(J104="Huyện Bình Chánh", Ward!$Y$2:$Z$17, IF(J104="Quận Bình Tân", Ward!$AA$2:$AB$11, IF(J104="Quận Bình Thạnh", Ward!$AC$2:$AD$21, IF(J104="Huyện Cần Giờ", Ward!$AE$2:$AF$8, IF(J104="Huyện Củ Chi", Ward!$AG$2:$AH$22, IF(J104="Quận Gò Vấp", Ward!$AI$2:$AJ$17, IF(J104="Huyện Hóc Môn", Ward!$AK$2:$AL$13, IF(J104="Huyện Nhà Bè", Ward!$AM$2:$AN$8, IF(J104="Quận Phú Nhuận", Ward!$AO$2:$AP$16, IF(J104="Quận Tân Bình", Ward!$AQ$2:$AR$16, IF(J104="Quận Tân Phú", Ward!$AS$2:$AT$12, IF(J104="Quận Thủ Đức", Ward!$AU$2:$AV$13)))))))))))))))))))))))), 2, FALSE), "")</f>
        <v/>
      </c>
      <c r="Y104" s="20" t="str">
        <f>IF(B104 &lt;&gt; "", VLOOKUP(B104, HospitalType!$A$2:$B$9, 2, FALSE), "")</f>
        <v/>
      </c>
    </row>
    <row r="105" spans="1:25" x14ac:dyDescent="0.25">
      <c r="A105" s="34"/>
      <c r="B105" s="24"/>
      <c r="C105" s="24"/>
      <c r="D105" s="24"/>
      <c r="E105" s="24"/>
      <c r="F105" s="24"/>
      <c r="G105" s="25"/>
      <c r="H105" s="25"/>
      <c r="I105" s="25"/>
      <c r="J105" s="25"/>
      <c r="K105" s="25"/>
      <c r="L105" s="25"/>
      <c r="M105" s="25"/>
      <c r="N105" s="25"/>
      <c r="O105" s="25"/>
      <c r="P105" s="25"/>
      <c r="Q105" s="24"/>
      <c r="R105" s="26"/>
      <c r="S105" s="26"/>
      <c r="T105" s="26"/>
      <c r="U105" s="27"/>
      <c r="V105" s="20" t="str">
        <f>IF(I105 &lt;&gt; "", VLOOKUP(I105, City!$A$1:$B$2, 2, FALSE), "" )</f>
        <v/>
      </c>
      <c r="W105" s="20" t="str">
        <f>IF(J105 &lt;&gt; "", VLOOKUP(J105, District!$A$1:$B$25, 2, FALSE), "")</f>
        <v/>
      </c>
      <c r="X105" s="21" t="str">
        <f>IF(K105 &lt;&gt; "", VLOOKUP(K105, IF(J105="Quận 1", Ward!$A$2:$B$11, IF(J105="Quận 2", Ward!$C$2:$D$12, IF(J105="Quận 3", Ward!$E$2:$F$15, IF(J105="Quận 4", Ward!$G$2:$H$16, IF(J105="Quận 5", Ward!$I$2:$J$16, IF(J105="Quận 6", Ward!$K$2:$L$15, IF(J105="Quận 7", Ward!$M$2:$N$11, IF(J105="Quận 8", Ward!$O$2:$P$17, IF(J105="Quận 9", Ward!$Q$2:$R$14, IF(J105="Quận 10", Ward!$S$2:$T$16, IF(J105="Quận 11", Ward!$U$2:$V$17, IF(J105="Quận 12", Ward!$W$2:$X$12, IF(J105="Huyện Bình Chánh", Ward!$Y$2:$Z$17, IF(J105="Quận Bình Tân", Ward!$AA$2:$AB$11, IF(J105="Quận Bình Thạnh", Ward!$AC$2:$AD$21, IF(J105="Huyện Cần Giờ", Ward!$AE$2:$AF$8, IF(J105="Huyện Củ Chi", Ward!$AG$2:$AH$22, IF(J105="Quận Gò Vấp", Ward!$AI$2:$AJ$17, IF(J105="Huyện Hóc Môn", Ward!$AK$2:$AL$13, IF(J105="Huyện Nhà Bè", Ward!$AM$2:$AN$8, IF(J105="Quận Phú Nhuận", Ward!$AO$2:$AP$16, IF(J105="Quận Tân Bình", Ward!$AQ$2:$AR$16, IF(J105="Quận Tân Phú", Ward!$AS$2:$AT$12, IF(J105="Quận Thủ Đức", Ward!$AU$2:$AV$13)))))))))))))))))))))))), 2, FALSE), "")</f>
        <v/>
      </c>
      <c r="Y105" s="20" t="str">
        <f>IF(B105 &lt;&gt; "", VLOOKUP(B105, HospitalType!$A$2:$B$9, 2, FALSE), "")</f>
        <v/>
      </c>
    </row>
    <row r="106" spans="1:25" x14ac:dyDescent="0.25">
      <c r="A106" s="34"/>
      <c r="B106" s="24"/>
      <c r="C106" s="24"/>
      <c r="D106" s="24"/>
      <c r="E106" s="24"/>
      <c r="F106" s="24"/>
      <c r="G106" s="25"/>
      <c r="H106" s="25"/>
      <c r="I106" s="25"/>
      <c r="J106" s="25"/>
      <c r="K106" s="25"/>
      <c r="L106" s="25"/>
      <c r="M106" s="25"/>
      <c r="N106" s="25"/>
      <c r="O106" s="25"/>
      <c r="P106" s="25"/>
      <c r="Q106" s="24"/>
      <c r="R106" s="26"/>
      <c r="S106" s="26"/>
      <c r="T106" s="26"/>
      <c r="U106" s="27"/>
      <c r="V106" s="20" t="str">
        <f>IF(I106 &lt;&gt; "", VLOOKUP(I106, City!$A$1:$B$2, 2, FALSE), "" )</f>
        <v/>
      </c>
      <c r="W106" s="20" t="str">
        <f>IF(J106 &lt;&gt; "", VLOOKUP(J106, District!$A$1:$B$25, 2, FALSE), "")</f>
        <v/>
      </c>
      <c r="X106" s="21" t="str">
        <f>IF(K106 &lt;&gt; "", VLOOKUP(K106, IF(J106="Quận 1", Ward!$A$2:$B$11, IF(J106="Quận 2", Ward!$C$2:$D$12, IF(J106="Quận 3", Ward!$E$2:$F$15, IF(J106="Quận 4", Ward!$G$2:$H$16, IF(J106="Quận 5", Ward!$I$2:$J$16, IF(J106="Quận 6", Ward!$K$2:$L$15, IF(J106="Quận 7", Ward!$M$2:$N$11, IF(J106="Quận 8", Ward!$O$2:$P$17, IF(J106="Quận 9", Ward!$Q$2:$R$14, IF(J106="Quận 10", Ward!$S$2:$T$16, IF(J106="Quận 11", Ward!$U$2:$V$17, IF(J106="Quận 12", Ward!$W$2:$X$12, IF(J106="Huyện Bình Chánh", Ward!$Y$2:$Z$17, IF(J106="Quận Bình Tân", Ward!$AA$2:$AB$11, IF(J106="Quận Bình Thạnh", Ward!$AC$2:$AD$21, IF(J106="Huyện Cần Giờ", Ward!$AE$2:$AF$8, IF(J106="Huyện Củ Chi", Ward!$AG$2:$AH$22, IF(J106="Quận Gò Vấp", Ward!$AI$2:$AJ$17, IF(J106="Huyện Hóc Môn", Ward!$AK$2:$AL$13, IF(J106="Huyện Nhà Bè", Ward!$AM$2:$AN$8, IF(J106="Quận Phú Nhuận", Ward!$AO$2:$AP$16, IF(J106="Quận Tân Bình", Ward!$AQ$2:$AR$16, IF(J106="Quận Tân Phú", Ward!$AS$2:$AT$12, IF(J106="Quận Thủ Đức", Ward!$AU$2:$AV$13)))))))))))))))))))))))), 2, FALSE), "")</f>
        <v/>
      </c>
      <c r="Y106" s="20" t="str">
        <f>IF(B106 &lt;&gt; "", VLOOKUP(B106, HospitalType!$A$2:$B$9, 2, FALSE), "")</f>
        <v/>
      </c>
    </row>
    <row r="107" spans="1:25" x14ac:dyDescent="0.25">
      <c r="A107" s="34"/>
      <c r="B107" s="24"/>
      <c r="C107" s="24"/>
      <c r="D107" s="24"/>
      <c r="E107" s="24"/>
      <c r="F107" s="24"/>
      <c r="G107" s="25"/>
      <c r="H107" s="25"/>
      <c r="I107" s="25"/>
      <c r="J107" s="25"/>
      <c r="K107" s="25"/>
      <c r="L107" s="25"/>
      <c r="M107" s="25"/>
      <c r="N107" s="25"/>
      <c r="O107" s="25"/>
      <c r="P107" s="25"/>
      <c r="Q107" s="24"/>
      <c r="R107" s="26"/>
      <c r="S107" s="26"/>
      <c r="T107" s="26"/>
      <c r="U107" s="27"/>
      <c r="V107" s="20" t="str">
        <f>IF(I107 &lt;&gt; "", VLOOKUP(I107, City!$A$1:$B$2, 2, FALSE), "" )</f>
        <v/>
      </c>
      <c r="W107" s="20" t="str">
        <f>IF(J107 &lt;&gt; "", VLOOKUP(J107, District!$A$1:$B$25, 2, FALSE), "")</f>
        <v/>
      </c>
      <c r="X107" s="21" t="str">
        <f>IF(K107 &lt;&gt; "", VLOOKUP(K107, IF(J107="Quận 1", Ward!$A$2:$B$11, IF(J107="Quận 2", Ward!$C$2:$D$12, IF(J107="Quận 3", Ward!$E$2:$F$15, IF(J107="Quận 4", Ward!$G$2:$H$16, IF(J107="Quận 5", Ward!$I$2:$J$16, IF(J107="Quận 6", Ward!$K$2:$L$15, IF(J107="Quận 7", Ward!$M$2:$N$11, IF(J107="Quận 8", Ward!$O$2:$P$17, IF(J107="Quận 9", Ward!$Q$2:$R$14, IF(J107="Quận 10", Ward!$S$2:$T$16, IF(J107="Quận 11", Ward!$U$2:$V$17, IF(J107="Quận 12", Ward!$W$2:$X$12, IF(J107="Huyện Bình Chánh", Ward!$Y$2:$Z$17, IF(J107="Quận Bình Tân", Ward!$AA$2:$AB$11, IF(J107="Quận Bình Thạnh", Ward!$AC$2:$AD$21, IF(J107="Huyện Cần Giờ", Ward!$AE$2:$AF$8, IF(J107="Huyện Củ Chi", Ward!$AG$2:$AH$22, IF(J107="Quận Gò Vấp", Ward!$AI$2:$AJ$17, IF(J107="Huyện Hóc Môn", Ward!$AK$2:$AL$13, IF(J107="Huyện Nhà Bè", Ward!$AM$2:$AN$8, IF(J107="Quận Phú Nhuận", Ward!$AO$2:$AP$16, IF(J107="Quận Tân Bình", Ward!$AQ$2:$AR$16, IF(J107="Quận Tân Phú", Ward!$AS$2:$AT$12, IF(J107="Quận Thủ Đức", Ward!$AU$2:$AV$13)))))))))))))))))))))))), 2, FALSE), "")</f>
        <v/>
      </c>
      <c r="Y107" s="20" t="str">
        <f>IF(B107 &lt;&gt; "", VLOOKUP(B107, HospitalType!$A$2:$B$9, 2, FALSE), "")</f>
        <v/>
      </c>
    </row>
    <row r="108" spans="1:25" x14ac:dyDescent="0.25">
      <c r="A108" s="34"/>
      <c r="B108" s="24"/>
      <c r="C108" s="24"/>
      <c r="D108" s="24"/>
      <c r="E108" s="24"/>
      <c r="F108" s="24"/>
      <c r="G108" s="25"/>
      <c r="H108" s="25"/>
      <c r="I108" s="25"/>
      <c r="J108" s="25"/>
      <c r="K108" s="25"/>
      <c r="L108" s="25"/>
      <c r="M108" s="25"/>
      <c r="N108" s="25"/>
      <c r="O108" s="25"/>
      <c r="P108" s="25"/>
      <c r="Q108" s="24"/>
      <c r="R108" s="26"/>
      <c r="S108" s="26"/>
      <c r="T108" s="26"/>
      <c r="U108" s="27"/>
      <c r="V108" s="20" t="str">
        <f>IF(I108 &lt;&gt; "", VLOOKUP(I108, City!$A$1:$B$2, 2, FALSE), "" )</f>
        <v/>
      </c>
      <c r="W108" s="20" t="str">
        <f>IF(J108 &lt;&gt; "", VLOOKUP(J108, District!$A$1:$B$25, 2, FALSE), "")</f>
        <v/>
      </c>
      <c r="X108" s="21" t="str">
        <f>IF(K108 &lt;&gt; "", VLOOKUP(K108, IF(J108="Quận 1", Ward!$A$2:$B$11, IF(J108="Quận 2", Ward!$C$2:$D$12, IF(J108="Quận 3", Ward!$E$2:$F$15, IF(J108="Quận 4", Ward!$G$2:$H$16, IF(J108="Quận 5", Ward!$I$2:$J$16, IF(J108="Quận 6", Ward!$K$2:$L$15, IF(J108="Quận 7", Ward!$M$2:$N$11, IF(J108="Quận 8", Ward!$O$2:$P$17, IF(J108="Quận 9", Ward!$Q$2:$R$14, IF(J108="Quận 10", Ward!$S$2:$T$16, IF(J108="Quận 11", Ward!$U$2:$V$17, IF(J108="Quận 12", Ward!$W$2:$X$12, IF(J108="Huyện Bình Chánh", Ward!$Y$2:$Z$17, IF(J108="Quận Bình Tân", Ward!$AA$2:$AB$11, IF(J108="Quận Bình Thạnh", Ward!$AC$2:$AD$21, IF(J108="Huyện Cần Giờ", Ward!$AE$2:$AF$8, IF(J108="Huyện Củ Chi", Ward!$AG$2:$AH$22, IF(J108="Quận Gò Vấp", Ward!$AI$2:$AJ$17, IF(J108="Huyện Hóc Môn", Ward!$AK$2:$AL$13, IF(J108="Huyện Nhà Bè", Ward!$AM$2:$AN$8, IF(J108="Quận Phú Nhuận", Ward!$AO$2:$AP$16, IF(J108="Quận Tân Bình", Ward!$AQ$2:$AR$16, IF(J108="Quận Tân Phú", Ward!$AS$2:$AT$12, IF(J108="Quận Thủ Đức", Ward!$AU$2:$AV$13)))))))))))))))))))))))), 2, FALSE), "")</f>
        <v/>
      </c>
      <c r="Y108" s="20" t="str">
        <f>IF(B108 &lt;&gt; "", VLOOKUP(B108, HospitalType!$A$2:$B$9, 2, FALSE), "")</f>
        <v/>
      </c>
    </row>
    <row r="109" spans="1:25" x14ac:dyDescent="0.25">
      <c r="A109" s="34"/>
      <c r="B109" s="24"/>
      <c r="C109" s="24"/>
      <c r="D109" s="24"/>
      <c r="E109" s="24"/>
      <c r="F109" s="24"/>
      <c r="G109" s="25"/>
      <c r="H109" s="25"/>
      <c r="I109" s="25"/>
      <c r="J109" s="25"/>
      <c r="K109" s="25"/>
      <c r="L109" s="25"/>
      <c r="M109" s="25"/>
      <c r="N109" s="25"/>
      <c r="O109" s="25"/>
      <c r="P109" s="25"/>
      <c r="Q109" s="24"/>
      <c r="R109" s="26"/>
      <c r="S109" s="26"/>
      <c r="T109" s="26"/>
      <c r="U109" s="27"/>
      <c r="V109" s="20" t="str">
        <f>IF(I109 &lt;&gt; "", VLOOKUP(I109, City!$A$1:$B$2, 2, FALSE), "" )</f>
        <v/>
      </c>
      <c r="W109" s="20" t="str">
        <f>IF(J109 &lt;&gt; "", VLOOKUP(J109, District!$A$1:$B$25, 2, FALSE), "")</f>
        <v/>
      </c>
      <c r="X109" s="21" t="str">
        <f>IF(K109 &lt;&gt; "", VLOOKUP(K109, IF(J109="Quận 1", Ward!$A$2:$B$11, IF(J109="Quận 2", Ward!$C$2:$D$12, IF(J109="Quận 3", Ward!$E$2:$F$15, IF(J109="Quận 4", Ward!$G$2:$H$16, IF(J109="Quận 5", Ward!$I$2:$J$16, IF(J109="Quận 6", Ward!$K$2:$L$15, IF(J109="Quận 7", Ward!$M$2:$N$11, IF(J109="Quận 8", Ward!$O$2:$P$17, IF(J109="Quận 9", Ward!$Q$2:$R$14, IF(J109="Quận 10", Ward!$S$2:$T$16, IF(J109="Quận 11", Ward!$U$2:$V$17, IF(J109="Quận 12", Ward!$W$2:$X$12, IF(J109="Huyện Bình Chánh", Ward!$Y$2:$Z$17, IF(J109="Quận Bình Tân", Ward!$AA$2:$AB$11, IF(J109="Quận Bình Thạnh", Ward!$AC$2:$AD$21, IF(J109="Huyện Cần Giờ", Ward!$AE$2:$AF$8, IF(J109="Huyện Củ Chi", Ward!$AG$2:$AH$22, IF(J109="Quận Gò Vấp", Ward!$AI$2:$AJ$17, IF(J109="Huyện Hóc Môn", Ward!$AK$2:$AL$13, IF(J109="Huyện Nhà Bè", Ward!$AM$2:$AN$8, IF(J109="Quận Phú Nhuận", Ward!$AO$2:$AP$16, IF(J109="Quận Tân Bình", Ward!$AQ$2:$AR$16, IF(J109="Quận Tân Phú", Ward!$AS$2:$AT$12, IF(J109="Quận Thủ Đức", Ward!$AU$2:$AV$13)))))))))))))))))))))))), 2, FALSE), "")</f>
        <v/>
      </c>
      <c r="Y109" s="20" t="str">
        <f>IF(B109 &lt;&gt; "", VLOOKUP(B109, HospitalType!$A$2:$B$9, 2, FALSE), "")</f>
        <v/>
      </c>
    </row>
    <row r="110" spans="1:25" x14ac:dyDescent="0.25">
      <c r="A110" s="34"/>
      <c r="B110" s="24"/>
      <c r="C110" s="24"/>
      <c r="D110" s="24"/>
      <c r="E110" s="24"/>
      <c r="F110" s="24"/>
      <c r="G110" s="25"/>
      <c r="H110" s="25"/>
      <c r="I110" s="25"/>
      <c r="J110" s="25"/>
      <c r="K110" s="25"/>
      <c r="L110" s="25"/>
      <c r="M110" s="25"/>
      <c r="N110" s="25"/>
      <c r="O110" s="25"/>
      <c r="P110" s="25"/>
      <c r="Q110" s="24"/>
      <c r="R110" s="26"/>
      <c r="S110" s="26"/>
      <c r="T110" s="26"/>
      <c r="U110" s="27"/>
      <c r="V110" s="20" t="str">
        <f>IF(I110 &lt;&gt; "", VLOOKUP(I110, City!$A$1:$B$2, 2, FALSE), "" )</f>
        <v/>
      </c>
      <c r="W110" s="20" t="str">
        <f>IF(J110 &lt;&gt; "", VLOOKUP(J110, District!$A$1:$B$25, 2, FALSE), "")</f>
        <v/>
      </c>
      <c r="X110" s="21" t="str">
        <f>IF(K110 &lt;&gt; "", VLOOKUP(K110, IF(J110="Quận 1", Ward!$A$2:$B$11, IF(J110="Quận 2", Ward!$C$2:$D$12, IF(J110="Quận 3", Ward!$E$2:$F$15, IF(J110="Quận 4", Ward!$G$2:$H$16, IF(J110="Quận 5", Ward!$I$2:$J$16, IF(J110="Quận 6", Ward!$K$2:$L$15, IF(J110="Quận 7", Ward!$M$2:$N$11, IF(J110="Quận 8", Ward!$O$2:$P$17, IF(J110="Quận 9", Ward!$Q$2:$R$14, IF(J110="Quận 10", Ward!$S$2:$T$16, IF(J110="Quận 11", Ward!$U$2:$V$17, IF(J110="Quận 12", Ward!$W$2:$X$12, IF(J110="Huyện Bình Chánh", Ward!$Y$2:$Z$17, IF(J110="Quận Bình Tân", Ward!$AA$2:$AB$11, IF(J110="Quận Bình Thạnh", Ward!$AC$2:$AD$21, IF(J110="Huyện Cần Giờ", Ward!$AE$2:$AF$8, IF(J110="Huyện Củ Chi", Ward!$AG$2:$AH$22, IF(J110="Quận Gò Vấp", Ward!$AI$2:$AJ$17, IF(J110="Huyện Hóc Môn", Ward!$AK$2:$AL$13, IF(J110="Huyện Nhà Bè", Ward!$AM$2:$AN$8, IF(J110="Quận Phú Nhuận", Ward!$AO$2:$AP$16, IF(J110="Quận Tân Bình", Ward!$AQ$2:$AR$16, IF(J110="Quận Tân Phú", Ward!$AS$2:$AT$12, IF(J110="Quận Thủ Đức", Ward!$AU$2:$AV$13)))))))))))))))))))))))), 2, FALSE), "")</f>
        <v/>
      </c>
      <c r="Y110" s="20" t="str">
        <f>IF(B110 &lt;&gt; "", VLOOKUP(B110, HospitalType!$A$2:$B$9, 2, FALSE), "")</f>
        <v/>
      </c>
    </row>
    <row r="111" spans="1:25" x14ac:dyDescent="0.25">
      <c r="A111" s="34"/>
      <c r="B111" s="24"/>
      <c r="C111" s="24"/>
      <c r="D111" s="24"/>
      <c r="E111" s="24"/>
      <c r="F111" s="24"/>
      <c r="G111" s="25"/>
      <c r="H111" s="25"/>
      <c r="I111" s="25"/>
      <c r="J111" s="25"/>
      <c r="K111" s="25"/>
      <c r="L111" s="25"/>
      <c r="M111" s="25"/>
      <c r="N111" s="25"/>
      <c r="O111" s="25"/>
      <c r="P111" s="25"/>
      <c r="Q111" s="24"/>
      <c r="R111" s="26"/>
      <c r="S111" s="26"/>
      <c r="T111" s="26"/>
      <c r="U111" s="27"/>
      <c r="V111" s="20" t="str">
        <f>IF(I111 &lt;&gt; "", VLOOKUP(I111, City!$A$1:$B$2, 2, FALSE), "" )</f>
        <v/>
      </c>
      <c r="W111" s="20" t="str">
        <f>IF(J111 &lt;&gt; "", VLOOKUP(J111, District!$A$1:$B$25, 2, FALSE), "")</f>
        <v/>
      </c>
      <c r="X111" s="21" t="str">
        <f>IF(K111 &lt;&gt; "", VLOOKUP(K111, IF(J111="Quận 1", Ward!$A$2:$B$11, IF(J111="Quận 2", Ward!$C$2:$D$12, IF(J111="Quận 3", Ward!$E$2:$F$15, IF(J111="Quận 4", Ward!$G$2:$H$16, IF(J111="Quận 5", Ward!$I$2:$J$16, IF(J111="Quận 6", Ward!$K$2:$L$15, IF(J111="Quận 7", Ward!$M$2:$N$11, IF(J111="Quận 8", Ward!$O$2:$P$17, IF(J111="Quận 9", Ward!$Q$2:$R$14, IF(J111="Quận 10", Ward!$S$2:$T$16, IF(J111="Quận 11", Ward!$U$2:$V$17, IF(J111="Quận 12", Ward!$W$2:$X$12, IF(J111="Huyện Bình Chánh", Ward!$Y$2:$Z$17, IF(J111="Quận Bình Tân", Ward!$AA$2:$AB$11, IF(J111="Quận Bình Thạnh", Ward!$AC$2:$AD$21, IF(J111="Huyện Cần Giờ", Ward!$AE$2:$AF$8, IF(J111="Huyện Củ Chi", Ward!$AG$2:$AH$22, IF(J111="Quận Gò Vấp", Ward!$AI$2:$AJ$17, IF(J111="Huyện Hóc Môn", Ward!$AK$2:$AL$13, IF(J111="Huyện Nhà Bè", Ward!$AM$2:$AN$8, IF(J111="Quận Phú Nhuận", Ward!$AO$2:$AP$16, IF(J111="Quận Tân Bình", Ward!$AQ$2:$AR$16, IF(J111="Quận Tân Phú", Ward!$AS$2:$AT$12, IF(J111="Quận Thủ Đức", Ward!$AU$2:$AV$13)))))))))))))))))))))))), 2, FALSE), "")</f>
        <v/>
      </c>
      <c r="Y111" s="20" t="str">
        <f>IF(B111 &lt;&gt; "", VLOOKUP(B111, HospitalType!$A$2:$B$9, 2, FALSE), "")</f>
        <v/>
      </c>
    </row>
    <row r="112" spans="1:25" x14ac:dyDescent="0.25">
      <c r="A112" s="34"/>
      <c r="B112" s="24"/>
      <c r="C112" s="24"/>
      <c r="D112" s="24"/>
      <c r="E112" s="24"/>
      <c r="F112" s="24"/>
      <c r="G112" s="25"/>
      <c r="H112" s="25"/>
      <c r="I112" s="25"/>
      <c r="J112" s="25"/>
      <c r="K112" s="25"/>
      <c r="L112" s="25"/>
      <c r="M112" s="25"/>
      <c r="N112" s="25"/>
      <c r="O112" s="25"/>
      <c r="P112" s="25"/>
      <c r="Q112" s="24"/>
      <c r="R112" s="26"/>
      <c r="S112" s="26"/>
      <c r="T112" s="26"/>
      <c r="U112" s="27"/>
      <c r="V112" s="20" t="str">
        <f>IF(I112 &lt;&gt; "", VLOOKUP(I112, City!$A$1:$B$2, 2, FALSE), "" )</f>
        <v/>
      </c>
      <c r="W112" s="20" t="str">
        <f>IF(J112 &lt;&gt; "", VLOOKUP(J112, District!$A$1:$B$25, 2, FALSE), "")</f>
        <v/>
      </c>
      <c r="X112" s="21" t="str">
        <f>IF(K112 &lt;&gt; "", VLOOKUP(K112, IF(J112="Quận 1", Ward!$A$2:$B$11, IF(J112="Quận 2", Ward!$C$2:$D$12, IF(J112="Quận 3", Ward!$E$2:$F$15, IF(J112="Quận 4", Ward!$G$2:$H$16, IF(J112="Quận 5", Ward!$I$2:$J$16, IF(J112="Quận 6", Ward!$K$2:$L$15, IF(J112="Quận 7", Ward!$M$2:$N$11, IF(J112="Quận 8", Ward!$O$2:$P$17, IF(J112="Quận 9", Ward!$Q$2:$R$14, IF(J112="Quận 10", Ward!$S$2:$T$16, IF(J112="Quận 11", Ward!$U$2:$V$17, IF(J112="Quận 12", Ward!$W$2:$X$12, IF(J112="Huyện Bình Chánh", Ward!$Y$2:$Z$17, IF(J112="Quận Bình Tân", Ward!$AA$2:$AB$11, IF(J112="Quận Bình Thạnh", Ward!$AC$2:$AD$21, IF(J112="Huyện Cần Giờ", Ward!$AE$2:$AF$8, IF(J112="Huyện Củ Chi", Ward!$AG$2:$AH$22, IF(J112="Quận Gò Vấp", Ward!$AI$2:$AJ$17, IF(J112="Huyện Hóc Môn", Ward!$AK$2:$AL$13, IF(J112="Huyện Nhà Bè", Ward!$AM$2:$AN$8, IF(J112="Quận Phú Nhuận", Ward!$AO$2:$AP$16, IF(J112="Quận Tân Bình", Ward!$AQ$2:$AR$16, IF(J112="Quận Tân Phú", Ward!$AS$2:$AT$12, IF(J112="Quận Thủ Đức", Ward!$AU$2:$AV$13)))))))))))))))))))))))), 2, FALSE), "")</f>
        <v/>
      </c>
      <c r="Y112" s="20" t="str">
        <f>IF(B112 &lt;&gt; "", VLOOKUP(B112, HospitalType!$A$2:$B$9, 2, FALSE), "")</f>
        <v/>
      </c>
    </row>
    <row r="113" spans="1:25" x14ac:dyDescent="0.25">
      <c r="A113" s="34"/>
      <c r="B113" s="24"/>
      <c r="C113" s="24"/>
      <c r="D113" s="24"/>
      <c r="E113" s="24"/>
      <c r="F113" s="24"/>
      <c r="G113" s="25"/>
      <c r="H113" s="25"/>
      <c r="I113" s="25"/>
      <c r="J113" s="25"/>
      <c r="K113" s="25"/>
      <c r="L113" s="25"/>
      <c r="M113" s="25"/>
      <c r="N113" s="25"/>
      <c r="O113" s="25"/>
      <c r="P113" s="25"/>
      <c r="Q113" s="24"/>
      <c r="R113" s="26"/>
      <c r="S113" s="26"/>
      <c r="T113" s="26"/>
      <c r="U113" s="27"/>
      <c r="V113" s="20" t="str">
        <f>IF(I113 &lt;&gt; "", VLOOKUP(I113, City!$A$1:$B$2, 2, FALSE), "" )</f>
        <v/>
      </c>
      <c r="W113" s="20" t="str">
        <f>IF(J113 &lt;&gt; "", VLOOKUP(J113, District!$A$1:$B$25, 2, FALSE), "")</f>
        <v/>
      </c>
      <c r="X113" s="21" t="str">
        <f>IF(K113 &lt;&gt; "", VLOOKUP(K113, IF(J113="Quận 1", Ward!$A$2:$B$11, IF(J113="Quận 2", Ward!$C$2:$D$12, IF(J113="Quận 3", Ward!$E$2:$F$15, IF(J113="Quận 4", Ward!$G$2:$H$16, IF(J113="Quận 5", Ward!$I$2:$J$16, IF(J113="Quận 6", Ward!$K$2:$L$15, IF(J113="Quận 7", Ward!$M$2:$N$11, IF(J113="Quận 8", Ward!$O$2:$P$17, IF(J113="Quận 9", Ward!$Q$2:$R$14, IF(J113="Quận 10", Ward!$S$2:$T$16, IF(J113="Quận 11", Ward!$U$2:$V$17, IF(J113="Quận 12", Ward!$W$2:$X$12, IF(J113="Huyện Bình Chánh", Ward!$Y$2:$Z$17, IF(J113="Quận Bình Tân", Ward!$AA$2:$AB$11, IF(J113="Quận Bình Thạnh", Ward!$AC$2:$AD$21, IF(J113="Huyện Cần Giờ", Ward!$AE$2:$AF$8, IF(J113="Huyện Củ Chi", Ward!$AG$2:$AH$22, IF(J113="Quận Gò Vấp", Ward!$AI$2:$AJ$17, IF(J113="Huyện Hóc Môn", Ward!$AK$2:$AL$13, IF(J113="Huyện Nhà Bè", Ward!$AM$2:$AN$8, IF(J113="Quận Phú Nhuận", Ward!$AO$2:$AP$16, IF(J113="Quận Tân Bình", Ward!$AQ$2:$AR$16, IF(J113="Quận Tân Phú", Ward!$AS$2:$AT$12, IF(J113="Quận Thủ Đức", Ward!$AU$2:$AV$13)))))))))))))))))))))))), 2, FALSE), "")</f>
        <v/>
      </c>
      <c r="Y113" s="20" t="str">
        <f>IF(B113 &lt;&gt; "", VLOOKUP(B113, HospitalType!$A$2:$B$9, 2, FALSE), "")</f>
        <v/>
      </c>
    </row>
    <row r="114" spans="1:25" x14ac:dyDescent="0.25">
      <c r="A114" s="34"/>
      <c r="B114" s="24"/>
      <c r="C114" s="24"/>
      <c r="D114" s="24"/>
      <c r="E114" s="24"/>
      <c r="F114" s="24"/>
      <c r="G114" s="25"/>
      <c r="H114" s="25"/>
      <c r="I114" s="25"/>
      <c r="J114" s="25"/>
      <c r="K114" s="25"/>
      <c r="L114" s="25"/>
      <c r="M114" s="25"/>
      <c r="N114" s="25"/>
      <c r="O114" s="25"/>
      <c r="P114" s="25"/>
      <c r="Q114" s="24"/>
      <c r="R114" s="26"/>
      <c r="S114" s="26"/>
      <c r="T114" s="26"/>
      <c r="U114" s="27"/>
      <c r="V114" s="20" t="str">
        <f>IF(I114 &lt;&gt; "", VLOOKUP(I114, City!$A$1:$B$2, 2, FALSE), "" )</f>
        <v/>
      </c>
      <c r="W114" s="20" t="str">
        <f>IF(J114 &lt;&gt; "", VLOOKUP(J114, District!$A$1:$B$25, 2, FALSE), "")</f>
        <v/>
      </c>
      <c r="X114" s="21" t="str">
        <f>IF(K114 &lt;&gt; "", VLOOKUP(K114, IF(J114="Quận 1", Ward!$A$2:$B$11, IF(J114="Quận 2", Ward!$C$2:$D$12, IF(J114="Quận 3", Ward!$E$2:$F$15, IF(J114="Quận 4", Ward!$G$2:$H$16, IF(J114="Quận 5", Ward!$I$2:$J$16, IF(J114="Quận 6", Ward!$K$2:$L$15, IF(J114="Quận 7", Ward!$M$2:$N$11, IF(J114="Quận 8", Ward!$O$2:$P$17, IF(J114="Quận 9", Ward!$Q$2:$R$14, IF(J114="Quận 10", Ward!$S$2:$T$16, IF(J114="Quận 11", Ward!$U$2:$V$17, IF(J114="Quận 12", Ward!$W$2:$X$12, IF(J114="Huyện Bình Chánh", Ward!$Y$2:$Z$17, IF(J114="Quận Bình Tân", Ward!$AA$2:$AB$11, IF(J114="Quận Bình Thạnh", Ward!$AC$2:$AD$21, IF(J114="Huyện Cần Giờ", Ward!$AE$2:$AF$8, IF(J114="Huyện Củ Chi", Ward!$AG$2:$AH$22, IF(J114="Quận Gò Vấp", Ward!$AI$2:$AJ$17, IF(J114="Huyện Hóc Môn", Ward!$AK$2:$AL$13, IF(J114="Huyện Nhà Bè", Ward!$AM$2:$AN$8, IF(J114="Quận Phú Nhuận", Ward!$AO$2:$AP$16, IF(J114="Quận Tân Bình", Ward!$AQ$2:$AR$16, IF(J114="Quận Tân Phú", Ward!$AS$2:$AT$12, IF(J114="Quận Thủ Đức", Ward!$AU$2:$AV$13)))))))))))))))))))))))), 2, FALSE), "")</f>
        <v/>
      </c>
      <c r="Y114" s="20" t="str">
        <f>IF(B114 &lt;&gt; "", VLOOKUP(B114, HospitalType!$A$2:$B$9, 2, FALSE), "")</f>
        <v/>
      </c>
    </row>
    <row r="115" spans="1:25" x14ac:dyDescent="0.25">
      <c r="A115" s="34"/>
      <c r="B115" s="24"/>
      <c r="C115" s="24"/>
      <c r="D115" s="24"/>
      <c r="E115" s="24"/>
      <c r="F115" s="24"/>
      <c r="G115" s="25"/>
      <c r="H115" s="25"/>
      <c r="I115" s="25"/>
      <c r="J115" s="25"/>
      <c r="K115" s="25"/>
      <c r="L115" s="25"/>
      <c r="M115" s="25"/>
      <c r="N115" s="25"/>
      <c r="O115" s="25"/>
      <c r="P115" s="25"/>
      <c r="Q115" s="24"/>
      <c r="R115" s="26"/>
      <c r="S115" s="26"/>
      <c r="T115" s="26"/>
      <c r="U115" s="27"/>
      <c r="V115" s="20" t="str">
        <f>IF(I115 &lt;&gt; "", VLOOKUP(I115, City!$A$1:$B$2, 2, FALSE), "" )</f>
        <v/>
      </c>
      <c r="W115" s="20" t="str">
        <f>IF(J115 &lt;&gt; "", VLOOKUP(J115, District!$A$1:$B$25, 2, FALSE), "")</f>
        <v/>
      </c>
      <c r="X115" s="21" t="str">
        <f>IF(K115 &lt;&gt; "", VLOOKUP(K115, IF(J115="Quận 1", Ward!$A$2:$B$11, IF(J115="Quận 2", Ward!$C$2:$D$12, IF(J115="Quận 3", Ward!$E$2:$F$15, IF(J115="Quận 4", Ward!$G$2:$H$16, IF(J115="Quận 5", Ward!$I$2:$J$16, IF(J115="Quận 6", Ward!$K$2:$L$15, IF(J115="Quận 7", Ward!$M$2:$N$11, IF(J115="Quận 8", Ward!$O$2:$P$17, IF(J115="Quận 9", Ward!$Q$2:$R$14, IF(J115="Quận 10", Ward!$S$2:$T$16, IF(J115="Quận 11", Ward!$U$2:$V$17, IF(J115="Quận 12", Ward!$W$2:$X$12, IF(J115="Huyện Bình Chánh", Ward!$Y$2:$Z$17, IF(J115="Quận Bình Tân", Ward!$AA$2:$AB$11, IF(J115="Quận Bình Thạnh", Ward!$AC$2:$AD$21, IF(J115="Huyện Cần Giờ", Ward!$AE$2:$AF$8, IF(J115="Huyện Củ Chi", Ward!$AG$2:$AH$22, IF(J115="Quận Gò Vấp", Ward!$AI$2:$AJ$17, IF(J115="Huyện Hóc Môn", Ward!$AK$2:$AL$13, IF(J115="Huyện Nhà Bè", Ward!$AM$2:$AN$8, IF(J115="Quận Phú Nhuận", Ward!$AO$2:$AP$16, IF(J115="Quận Tân Bình", Ward!$AQ$2:$AR$16, IF(J115="Quận Tân Phú", Ward!$AS$2:$AT$12, IF(J115="Quận Thủ Đức", Ward!$AU$2:$AV$13)))))))))))))))))))))))), 2, FALSE), "")</f>
        <v/>
      </c>
      <c r="Y115" s="20" t="str">
        <f>IF(B115 &lt;&gt; "", VLOOKUP(B115, HospitalType!$A$2:$B$9, 2, FALSE), "")</f>
        <v/>
      </c>
    </row>
    <row r="116" spans="1:25" x14ac:dyDescent="0.25">
      <c r="A116" s="34"/>
      <c r="B116" s="24"/>
      <c r="C116" s="24"/>
      <c r="D116" s="24"/>
      <c r="E116" s="24"/>
      <c r="F116" s="24"/>
      <c r="G116" s="25"/>
      <c r="H116" s="25"/>
      <c r="I116" s="25"/>
      <c r="J116" s="25"/>
      <c r="K116" s="25"/>
      <c r="L116" s="25"/>
      <c r="M116" s="25"/>
      <c r="N116" s="25"/>
      <c r="O116" s="25"/>
      <c r="P116" s="25"/>
      <c r="Q116" s="24"/>
      <c r="R116" s="26"/>
      <c r="S116" s="26"/>
      <c r="T116" s="26"/>
      <c r="U116" s="27"/>
      <c r="V116" s="20" t="str">
        <f>IF(I116 &lt;&gt; "", VLOOKUP(I116, City!$A$1:$B$2, 2, FALSE), "" )</f>
        <v/>
      </c>
      <c r="W116" s="20" t="str">
        <f>IF(J116 &lt;&gt; "", VLOOKUP(J116, District!$A$1:$B$25, 2, FALSE), "")</f>
        <v/>
      </c>
      <c r="X116" s="21" t="str">
        <f>IF(K116 &lt;&gt; "", VLOOKUP(K116, IF(J116="Quận 1", Ward!$A$2:$B$11, IF(J116="Quận 2", Ward!$C$2:$D$12, IF(J116="Quận 3", Ward!$E$2:$F$15, IF(J116="Quận 4", Ward!$G$2:$H$16, IF(J116="Quận 5", Ward!$I$2:$J$16, IF(J116="Quận 6", Ward!$K$2:$L$15, IF(J116="Quận 7", Ward!$M$2:$N$11, IF(J116="Quận 8", Ward!$O$2:$P$17, IF(J116="Quận 9", Ward!$Q$2:$R$14, IF(J116="Quận 10", Ward!$S$2:$T$16, IF(J116="Quận 11", Ward!$U$2:$V$17, IF(J116="Quận 12", Ward!$W$2:$X$12, IF(J116="Huyện Bình Chánh", Ward!$Y$2:$Z$17, IF(J116="Quận Bình Tân", Ward!$AA$2:$AB$11, IF(J116="Quận Bình Thạnh", Ward!$AC$2:$AD$21, IF(J116="Huyện Cần Giờ", Ward!$AE$2:$AF$8, IF(J116="Huyện Củ Chi", Ward!$AG$2:$AH$22, IF(J116="Quận Gò Vấp", Ward!$AI$2:$AJ$17, IF(J116="Huyện Hóc Môn", Ward!$AK$2:$AL$13, IF(J116="Huyện Nhà Bè", Ward!$AM$2:$AN$8, IF(J116="Quận Phú Nhuận", Ward!$AO$2:$AP$16, IF(J116="Quận Tân Bình", Ward!$AQ$2:$AR$16, IF(J116="Quận Tân Phú", Ward!$AS$2:$AT$12, IF(J116="Quận Thủ Đức", Ward!$AU$2:$AV$13)))))))))))))))))))))))), 2, FALSE), "")</f>
        <v/>
      </c>
      <c r="Y116" s="20" t="str">
        <f>IF(B116 &lt;&gt; "", VLOOKUP(B116, HospitalType!$A$2:$B$9, 2, FALSE), "")</f>
        <v/>
      </c>
    </row>
    <row r="117" spans="1:25" x14ac:dyDescent="0.25">
      <c r="A117" s="34"/>
      <c r="B117" s="24"/>
      <c r="C117" s="24"/>
      <c r="D117" s="24"/>
      <c r="E117" s="24"/>
      <c r="F117" s="24"/>
      <c r="G117" s="25"/>
      <c r="H117" s="25"/>
      <c r="I117" s="25"/>
      <c r="J117" s="25"/>
      <c r="K117" s="25"/>
      <c r="L117" s="25"/>
      <c r="M117" s="25"/>
      <c r="N117" s="25"/>
      <c r="O117" s="25"/>
      <c r="P117" s="25"/>
      <c r="Q117" s="24"/>
      <c r="R117" s="26"/>
      <c r="S117" s="26"/>
      <c r="T117" s="26"/>
      <c r="U117" s="27"/>
      <c r="V117" s="20" t="str">
        <f>IF(I117 &lt;&gt; "", VLOOKUP(I117, City!$A$1:$B$2, 2, FALSE), "" )</f>
        <v/>
      </c>
      <c r="W117" s="20" t="str">
        <f>IF(J117 &lt;&gt; "", VLOOKUP(J117, District!$A$1:$B$25, 2, FALSE), "")</f>
        <v/>
      </c>
      <c r="X117" s="21" t="str">
        <f>IF(K117 &lt;&gt; "", VLOOKUP(K117, IF(J117="Quận 1", Ward!$A$2:$B$11, IF(J117="Quận 2", Ward!$C$2:$D$12, IF(J117="Quận 3", Ward!$E$2:$F$15, IF(J117="Quận 4", Ward!$G$2:$H$16, IF(J117="Quận 5", Ward!$I$2:$J$16, IF(J117="Quận 6", Ward!$K$2:$L$15, IF(J117="Quận 7", Ward!$M$2:$N$11, IF(J117="Quận 8", Ward!$O$2:$P$17, IF(J117="Quận 9", Ward!$Q$2:$R$14, IF(J117="Quận 10", Ward!$S$2:$T$16, IF(J117="Quận 11", Ward!$U$2:$V$17, IF(J117="Quận 12", Ward!$W$2:$X$12, IF(J117="Huyện Bình Chánh", Ward!$Y$2:$Z$17, IF(J117="Quận Bình Tân", Ward!$AA$2:$AB$11, IF(J117="Quận Bình Thạnh", Ward!$AC$2:$AD$21, IF(J117="Huyện Cần Giờ", Ward!$AE$2:$AF$8, IF(J117="Huyện Củ Chi", Ward!$AG$2:$AH$22, IF(J117="Quận Gò Vấp", Ward!$AI$2:$AJ$17, IF(J117="Huyện Hóc Môn", Ward!$AK$2:$AL$13, IF(J117="Huyện Nhà Bè", Ward!$AM$2:$AN$8, IF(J117="Quận Phú Nhuận", Ward!$AO$2:$AP$16, IF(J117="Quận Tân Bình", Ward!$AQ$2:$AR$16, IF(J117="Quận Tân Phú", Ward!$AS$2:$AT$12, IF(J117="Quận Thủ Đức", Ward!$AU$2:$AV$13)))))))))))))))))))))))), 2, FALSE), "")</f>
        <v/>
      </c>
      <c r="Y117" s="20" t="str">
        <f>IF(B117 &lt;&gt; "", VLOOKUP(B117, HospitalType!$A$2:$B$9, 2, FALSE), "")</f>
        <v/>
      </c>
    </row>
    <row r="118" spans="1:25" x14ac:dyDescent="0.25">
      <c r="A118" s="34"/>
      <c r="B118" s="24"/>
      <c r="C118" s="24"/>
      <c r="D118" s="24"/>
      <c r="E118" s="24"/>
      <c r="F118" s="24"/>
      <c r="G118" s="25"/>
      <c r="H118" s="25"/>
      <c r="I118" s="25"/>
      <c r="J118" s="25"/>
      <c r="K118" s="25"/>
      <c r="L118" s="25"/>
      <c r="M118" s="25"/>
      <c r="N118" s="25"/>
      <c r="O118" s="25"/>
      <c r="P118" s="25"/>
      <c r="Q118" s="24"/>
      <c r="R118" s="26"/>
      <c r="S118" s="26"/>
      <c r="T118" s="26"/>
      <c r="U118" s="27"/>
      <c r="V118" s="20" t="str">
        <f>IF(I118 &lt;&gt; "", VLOOKUP(I118, City!$A$1:$B$2, 2, FALSE), "" )</f>
        <v/>
      </c>
      <c r="W118" s="20" t="str">
        <f>IF(J118 &lt;&gt; "", VLOOKUP(J118, District!$A$1:$B$25, 2, FALSE), "")</f>
        <v/>
      </c>
      <c r="X118" s="21" t="str">
        <f>IF(K118 &lt;&gt; "", VLOOKUP(K118, IF(J118="Quận 1", Ward!$A$2:$B$11, IF(J118="Quận 2", Ward!$C$2:$D$12, IF(J118="Quận 3", Ward!$E$2:$F$15, IF(J118="Quận 4", Ward!$G$2:$H$16, IF(J118="Quận 5", Ward!$I$2:$J$16, IF(J118="Quận 6", Ward!$K$2:$L$15, IF(J118="Quận 7", Ward!$M$2:$N$11, IF(J118="Quận 8", Ward!$O$2:$P$17, IF(J118="Quận 9", Ward!$Q$2:$R$14, IF(J118="Quận 10", Ward!$S$2:$T$16, IF(J118="Quận 11", Ward!$U$2:$V$17, IF(J118="Quận 12", Ward!$W$2:$X$12, IF(J118="Huyện Bình Chánh", Ward!$Y$2:$Z$17, IF(J118="Quận Bình Tân", Ward!$AA$2:$AB$11, IF(J118="Quận Bình Thạnh", Ward!$AC$2:$AD$21, IF(J118="Huyện Cần Giờ", Ward!$AE$2:$AF$8, IF(J118="Huyện Củ Chi", Ward!$AG$2:$AH$22, IF(J118="Quận Gò Vấp", Ward!$AI$2:$AJ$17, IF(J118="Huyện Hóc Môn", Ward!$AK$2:$AL$13, IF(J118="Huyện Nhà Bè", Ward!$AM$2:$AN$8, IF(J118="Quận Phú Nhuận", Ward!$AO$2:$AP$16, IF(J118="Quận Tân Bình", Ward!$AQ$2:$AR$16, IF(J118="Quận Tân Phú", Ward!$AS$2:$AT$12, IF(J118="Quận Thủ Đức", Ward!$AU$2:$AV$13)))))))))))))))))))))))), 2, FALSE), "")</f>
        <v/>
      </c>
      <c r="Y118" s="20" t="str">
        <f>IF(B118 &lt;&gt; "", VLOOKUP(B118, HospitalType!$A$2:$B$9, 2, FALSE), "")</f>
        <v/>
      </c>
    </row>
    <row r="119" spans="1:25" x14ac:dyDescent="0.25">
      <c r="A119" s="34"/>
      <c r="B119" s="24"/>
      <c r="C119" s="24"/>
      <c r="D119" s="24"/>
      <c r="E119" s="24"/>
      <c r="F119" s="24"/>
      <c r="G119" s="25"/>
      <c r="H119" s="25"/>
      <c r="I119" s="25"/>
      <c r="J119" s="25"/>
      <c r="K119" s="25"/>
      <c r="L119" s="25"/>
      <c r="M119" s="25"/>
      <c r="N119" s="25"/>
      <c r="O119" s="25"/>
      <c r="P119" s="25"/>
      <c r="Q119" s="24"/>
      <c r="R119" s="26"/>
      <c r="S119" s="26"/>
      <c r="T119" s="26"/>
      <c r="U119" s="27"/>
      <c r="V119" s="20" t="str">
        <f>IF(I119 &lt;&gt; "", VLOOKUP(I119, City!$A$1:$B$2, 2, FALSE), "" )</f>
        <v/>
      </c>
      <c r="W119" s="20" t="str">
        <f>IF(J119 &lt;&gt; "", VLOOKUP(J119, District!$A$1:$B$25, 2, FALSE), "")</f>
        <v/>
      </c>
      <c r="X119" s="21" t="str">
        <f>IF(K119 &lt;&gt; "", VLOOKUP(K119, IF(J119="Quận 1", Ward!$A$2:$B$11, IF(J119="Quận 2", Ward!$C$2:$D$12, IF(J119="Quận 3", Ward!$E$2:$F$15, IF(J119="Quận 4", Ward!$G$2:$H$16, IF(J119="Quận 5", Ward!$I$2:$J$16, IF(J119="Quận 6", Ward!$K$2:$L$15, IF(J119="Quận 7", Ward!$M$2:$N$11, IF(J119="Quận 8", Ward!$O$2:$P$17, IF(J119="Quận 9", Ward!$Q$2:$R$14, IF(J119="Quận 10", Ward!$S$2:$T$16, IF(J119="Quận 11", Ward!$U$2:$V$17, IF(J119="Quận 12", Ward!$W$2:$X$12, IF(J119="Huyện Bình Chánh", Ward!$Y$2:$Z$17, IF(J119="Quận Bình Tân", Ward!$AA$2:$AB$11, IF(J119="Quận Bình Thạnh", Ward!$AC$2:$AD$21, IF(J119="Huyện Cần Giờ", Ward!$AE$2:$AF$8, IF(J119="Huyện Củ Chi", Ward!$AG$2:$AH$22, IF(J119="Quận Gò Vấp", Ward!$AI$2:$AJ$17, IF(J119="Huyện Hóc Môn", Ward!$AK$2:$AL$13, IF(J119="Huyện Nhà Bè", Ward!$AM$2:$AN$8, IF(J119="Quận Phú Nhuận", Ward!$AO$2:$AP$16, IF(J119="Quận Tân Bình", Ward!$AQ$2:$AR$16, IF(J119="Quận Tân Phú", Ward!$AS$2:$AT$12, IF(J119="Quận Thủ Đức", Ward!$AU$2:$AV$13)))))))))))))))))))))))), 2, FALSE), "")</f>
        <v/>
      </c>
      <c r="Y119" s="20" t="str">
        <f>IF(B119 &lt;&gt; "", VLOOKUP(B119, HospitalType!$A$2:$B$9, 2, FALSE), "")</f>
        <v/>
      </c>
    </row>
    <row r="120" spans="1:25" x14ac:dyDescent="0.25">
      <c r="A120" s="34"/>
      <c r="B120" s="24"/>
      <c r="C120" s="24"/>
      <c r="D120" s="24"/>
      <c r="E120" s="24"/>
      <c r="F120" s="24"/>
      <c r="G120" s="25"/>
      <c r="H120" s="25"/>
      <c r="I120" s="25"/>
      <c r="J120" s="25"/>
      <c r="K120" s="25"/>
      <c r="L120" s="25"/>
      <c r="M120" s="25"/>
      <c r="N120" s="25"/>
      <c r="O120" s="25"/>
      <c r="P120" s="25"/>
      <c r="Q120" s="24"/>
      <c r="R120" s="26"/>
      <c r="S120" s="26"/>
      <c r="T120" s="26"/>
      <c r="U120" s="27"/>
      <c r="V120" s="20" t="str">
        <f>IF(I120 &lt;&gt; "", VLOOKUP(I120, City!$A$1:$B$2, 2, FALSE), "" )</f>
        <v/>
      </c>
      <c r="W120" s="20" t="str">
        <f>IF(J120 &lt;&gt; "", VLOOKUP(J120, District!$A$1:$B$25, 2, FALSE), "")</f>
        <v/>
      </c>
      <c r="X120" s="21" t="str">
        <f>IF(K120 &lt;&gt; "", VLOOKUP(K120, IF(J120="Quận 1", Ward!$A$2:$B$11, IF(J120="Quận 2", Ward!$C$2:$D$12, IF(J120="Quận 3", Ward!$E$2:$F$15, IF(J120="Quận 4", Ward!$G$2:$H$16, IF(J120="Quận 5", Ward!$I$2:$J$16, IF(J120="Quận 6", Ward!$K$2:$L$15, IF(J120="Quận 7", Ward!$M$2:$N$11, IF(J120="Quận 8", Ward!$O$2:$P$17, IF(J120="Quận 9", Ward!$Q$2:$R$14, IF(J120="Quận 10", Ward!$S$2:$T$16, IF(J120="Quận 11", Ward!$U$2:$V$17, IF(J120="Quận 12", Ward!$W$2:$X$12, IF(J120="Huyện Bình Chánh", Ward!$Y$2:$Z$17, IF(J120="Quận Bình Tân", Ward!$AA$2:$AB$11, IF(J120="Quận Bình Thạnh", Ward!$AC$2:$AD$21, IF(J120="Huyện Cần Giờ", Ward!$AE$2:$AF$8, IF(J120="Huyện Củ Chi", Ward!$AG$2:$AH$22, IF(J120="Quận Gò Vấp", Ward!$AI$2:$AJ$17, IF(J120="Huyện Hóc Môn", Ward!$AK$2:$AL$13, IF(J120="Huyện Nhà Bè", Ward!$AM$2:$AN$8, IF(J120="Quận Phú Nhuận", Ward!$AO$2:$AP$16, IF(J120="Quận Tân Bình", Ward!$AQ$2:$AR$16, IF(J120="Quận Tân Phú", Ward!$AS$2:$AT$12, IF(J120="Quận Thủ Đức", Ward!$AU$2:$AV$13)))))))))))))))))))))))), 2, FALSE), "")</f>
        <v/>
      </c>
      <c r="Y120" s="20" t="str">
        <f>IF(B120 &lt;&gt; "", VLOOKUP(B120, HospitalType!$A$2:$B$9, 2, FALSE), "")</f>
        <v/>
      </c>
    </row>
    <row r="121" spans="1:25" x14ac:dyDescent="0.25">
      <c r="A121" s="34"/>
      <c r="B121" s="24"/>
      <c r="C121" s="24"/>
      <c r="D121" s="24"/>
      <c r="E121" s="24"/>
      <c r="F121" s="24"/>
      <c r="G121" s="25"/>
      <c r="H121" s="25"/>
      <c r="I121" s="25"/>
      <c r="J121" s="25"/>
      <c r="K121" s="25"/>
      <c r="L121" s="25"/>
      <c r="M121" s="25"/>
      <c r="N121" s="25"/>
      <c r="O121" s="25"/>
      <c r="P121" s="25"/>
      <c r="Q121" s="24"/>
      <c r="R121" s="26"/>
      <c r="S121" s="26"/>
      <c r="T121" s="26"/>
      <c r="U121" s="27"/>
      <c r="V121" s="20" t="str">
        <f>IF(I121 &lt;&gt; "", VLOOKUP(I121, City!$A$1:$B$2, 2, FALSE), "" )</f>
        <v/>
      </c>
      <c r="W121" s="20" t="str">
        <f>IF(J121 &lt;&gt; "", VLOOKUP(J121, District!$A$1:$B$25, 2, FALSE), "")</f>
        <v/>
      </c>
      <c r="X121" s="21" t="str">
        <f>IF(K121 &lt;&gt; "", VLOOKUP(K121, IF(J121="Quận 1", Ward!$A$2:$B$11, IF(J121="Quận 2", Ward!$C$2:$D$12, IF(J121="Quận 3", Ward!$E$2:$F$15, IF(J121="Quận 4", Ward!$G$2:$H$16, IF(J121="Quận 5", Ward!$I$2:$J$16, IF(J121="Quận 6", Ward!$K$2:$L$15, IF(J121="Quận 7", Ward!$M$2:$N$11, IF(J121="Quận 8", Ward!$O$2:$P$17, IF(J121="Quận 9", Ward!$Q$2:$R$14, IF(J121="Quận 10", Ward!$S$2:$T$16, IF(J121="Quận 11", Ward!$U$2:$V$17, IF(J121="Quận 12", Ward!$W$2:$X$12, IF(J121="Huyện Bình Chánh", Ward!$Y$2:$Z$17, IF(J121="Quận Bình Tân", Ward!$AA$2:$AB$11, IF(J121="Quận Bình Thạnh", Ward!$AC$2:$AD$21, IF(J121="Huyện Cần Giờ", Ward!$AE$2:$AF$8, IF(J121="Huyện Củ Chi", Ward!$AG$2:$AH$22, IF(J121="Quận Gò Vấp", Ward!$AI$2:$AJ$17, IF(J121="Huyện Hóc Môn", Ward!$AK$2:$AL$13, IF(J121="Huyện Nhà Bè", Ward!$AM$2:$AN$8, IF(J121="Quận Phú Nhuận", Ward!$AO$2:$AP$16, IF(J121="Quận Tân Bình", Ward!$AQ$2:$AR$16, IF(J121="Quận Tân Phú", Ward!$AS$2:$AT$12, IF(J121="Quận Thủ Đức", Ward!$AU$2:$AV$13)))))))))))))))))))))))), 2, FALSE), "")</f>
        <v/>
      </c>
      <c r="Y121" s="20" t="str">
        <f>IF(B121 &lt;&gt; "", VLOOKUP(B121, HospitalType!$A$2:$B$9, 2, FALSE), "")</f>
        <v/>
      </c>
    </row>
    <row r="122" spans="1:25" x14ac:dyDescent="0.25">
      <c r="A122" s="34"/>
      <c r="B122" s="24"/>
      <c r="C122" s="24"/>
      <c r="D122" s="24"/>
      <c r="E122" s="24"/>
      <c r="F122" s="24"/>
      <c r="G122" s="25"/>
      <c r="H122" s="25"/>
      <c r="I122" s="25"/>
      <c r="J122" s="25"/>
      <c r="K122" s="25"/>
      <c r="L122" s="25"/>
      <c r="M122" s="25"/>
      <c r="N122" s="25"/>
      <c r="O122" s="25"/>
      <c r="P122" s="25"/>
      <c r="Q122" s="24"/>
      <c r="R122" s="26"/>
      <c r="S122" s="26"/>
      <c r="T122" s="26"/>
      <c r="U122" s="27"/>
      <c r="V122" s="20" t="str">
        <f>IF(I122 &lt;&gt; "", VLOOKUP(I122, City!$A$1:$B$2, 2, FALSE), "" )</f>
        <v/>
      </c>
      <c r="W122" s="20" t="str">
        <f>IF(J122 &lt;&gt; "", VLOOKUP(J122, District!$A$1:$B$25, 2, FALSE), "")</f>
        <v/>
      </c>
      <c r="X122" s="21" t="str">
        <f>IF(K122 &lt;&gt; "", VLOOKUP(K122, IF(J122="Quận 1", Ward!$A$2:$B$11, IF(J122="Quận 2", Ward!$C$2:$D$12, IF(J122="Quận 3", Ward!$E$2:$F$15, IF(J122="Quận 4", Ward!$G$2:$H$16, IF(J122="Quận 5", Ward!$I$2:$J$16, IF(J122="Quận 6", Ward!$K$2:$L$15, IF(J122="Quận 7", Ward!$M$2:$N$11, IF(J122="Quận 8", Ward!$O$2:$P$17, IF(J122="Quận 9", Ward!$Q$2:$R$14, IF(J122="Quận 10", Ward!$S$2:$T$16, IF(J122="Quận 11", Ward!$U$2:$V$17, IF(J122="Quận 12", Ward!$W$2:$X$12, IF(J122="Huyện Bình Chánh", Ward!$Y$2:$Z$17, IF(J122="Quận Bình Tân", Ward!$AA$2:$AB$11, IF(J122="Quận Bình Thạnh", Ward!$AC$2:$AD$21, IF(J122="Huyện Cần Giờ", Ward!$AE$2:$AF$8, IF(J122="Huyện Củ Chi", Ward!$AG$2:$AH$22, IF(J122="Quận Gò Vấp", Ward!$AI$2:$AJ$17, IF(J122="Huyện Hóc Môn", Ward!$AK$2:$AL$13, IF(J122="Huyện Nhà Bè", Ward!$AM$2:$AN$8, IF(J122="Quận Phú Nhuận", Ward!$AO$2:$AP$16, IF(J122="Quận Tân Bình", Ward!$AQ$2:$AR$16, IF(J122="Quận Tân Phú", Ward!$AS$2:$AT$12, IF(J122="Quận Thủ Đức", Ward!$AU$2:$AV$13)))))))))))))))))))))))), 2, FALSE), "")</f>
        <v/>
      </c>
      <c r="Y122" s="20" t="str">
        <f>IF(B122 &lt;&gt; "", VLOOKUP(B122, HospitalType!$A$2:$B$9, 2, FALSE), "")</f>
        <v/>
      </c>
    </row>
    <row r="123" spans="1:25" x14ac:dyDescent="0.25">
      <c r="A123" s="34"/>
      <c r="B123" s="24"/>
      <c r="C123" s="24"/>
      <c r="D123" s="24"/>
      <c r="E123" s="24"/>
      <c r="F123" s="24"/>
      <c r="G123" s="25"/>
      <c r="H123" s="25"/>
      <c r="I123" s="25"/>
      <c r="J123" s="25"/>
      <c r="K123" s="25"/>
      <c r="L123" s="25"/>
      <c r="M123" s="25"/>
      <c r="N123" s="25"/>
      <c r="O123" s="25"/>
      <c r="P123" s="25"/>
      <c r="Q123" s="24"/>
      <c r="R123" s="26"/>
      <c r="S123" s="26"/>
      <c r="T123" s="26"/>
      <c r="U123" s="27"/>
      <c r="V123" s="20" t="str">
        <f>IF(I123 &lt;&gt; "", VLOOKUP(I123, City!$A$1:$B$2, 2, FALSE), "" )</f>
        <v/>
      </c>
      <c r="W123" s="20" t="str">
        <f>IF(J123 &lt;&gt; "", VLOOKUP(J123, District!$A$1:$B$25, 2, FALSE), "")</f>
        <v/>
      </c>
      <c r="X123" s="21" t="str">
        <f>IF(K123 &lt;&gt; "", VLOOKUP(K123, IF(J123="Quận 1", Ward!$A$2:$B$11, IF(J123="Quận 2", Ward!$C$2:$D$12, IF(J123="Quận 3", Ward!$E$2:$F$15, IF(J123="Quận 4", Ward!$G$2:$H$16, IF(J123="Quận 5", Ward!$I$2:$J$16, IF(J123="Quận 6", Ward!$K$2:$L$15, IF(J123="Quận 7", Ward!$M$2:$N$11, IF(J123="Quận 8", Ward!$O$2:$P$17, IF(J123="Quận 9", Ward!$Q$2:$R$14, IF(J123="Quận 10", Ward!$S$2:$T$16, IF(J123="Quận 11", Ward!$U$2:$V$17, IF(J123="Quận 12", Ward!$W$2:$X$12, IF(J123="Huyện Bình Chánh", Ward!$Y$2:$Z$17, IF(J123="Quận Bình Tân", Ward!$AA$2:$AB$11, IF(J123="Quận Bình Thạnh", Ward!$AC$2:$AD$21, IF(J123="Huyện Cần Giờ", Ward!$AE$2:$AF$8, IF(J123="Huyện Củ Chi", Ward!$AG$2:$AH$22, IF(J123="Quận Gò Vấp", Ward!$AI$2:$AJ$17, IF(J123="Huyện Hóc Môn", Ward!$AK$2:$AL$13, IF(J123="Huyện Nhà Bè", Ward!$AM$2:$AN$8, IF(J123="Quận Phú Nhuận", Ward!$AO$2:$AP$16, IF(J123="Quận Tân Bình", Ward!$AQ$2:$AR$16, IF(J123="Quận Tân Phú", Ward!$AS$2:$AT$12, IF(J123="Quận Thủ Đức", Ward!$AU$2:$AV$13)))))))))))))))))))))))), 2, FALSE), "")</f>
        <v/>
      </c>
      <c r="Y123" s="20" t="str">
        <f>IF(B123 &lt;&gt; "", VLOOKUP(B123, HospitalType!$A$2:$B$9, 2, FALSE), "")</f>
        <v/>
      </c>
    </row>
    <row r="124" spans="1:25" x14ac:dyDescent="0.25">
      <c r="A124" s="34"/>
      <c r="B124" s="24"/>
      <c r="C124" s="24"/>
      <c r="D124" s="24"/>
      <c r="E124" s="24"/>
      <c r="F124" s="24"/>
      <c r="G124" s="25"/>
      <c r="H124" s="25"/>
      <c r="I124" s="25"/>
      <c r="J124" s="25"/>
      <c r="K124" s="25"/>
      <c r="L124" s="25"/>
      <c r="M124" s="25"/>
      <c r="N124" s="25"/>
      <c r="O124" s="25"/>
      <c r="P124" s="25"/>
      <c r="Q124" s="24"/>
      <c r="R124" s="26"/>
      <c r="S124" s="26"/>
      <c r="T124" s="26"/>
      <c r="U124" s="27"/>
      <c r="V124" s="20" t="str">
        <f>IF(I124 &lt;&gt; "", VLOOKUP(I124, City!$A$1:$B$2, 2, FALSE), "" )</f>
        <v/>
      </c>
      <c r="W124" s="20" t="str">
        <f>IF(J124 &lt;&gt; "", VLOOKUP(J124, District!$A$1:$B$25, 2, FALSE), "")</f>
        <v/>
      </c>
      <c r="X124" s="21" t="str">
        <f>IF(K124 &lt;&gt; "", VLOOKUP(K124, IF(J124="Quận 1", Ward!$A$2:$B$11, IF(J124="Quận 2", Ward!$C$2:$D$12, IF(J124="Quận 3", Ward!$E$2:$F$15, IF(J124="Quận 4", Ward!$G$2:$H$16, IF(J124="Quận 5", Ward!$I$2:$J$16, IF(J124="Quận 6", Ward!$K$2:$L$15, IF(J124="Quận 7", Ward!$M$2:$N$11, IF(J124="Quận 8", Ward!$O$2:$P$17, IF(J124="Quận 9", Ward!$Q$2:$R$14, IF(J124="Quận 10", Ward!$S$2:$T$16, IF(J124="Quận 11", Ward!$U$2:$V$17, IF(J124="Quận 12", Ward!$W$2:$X$12, IF(J124="Huyện Bình Chánh", Ward!$Y$2:$Z$17, IF(J124="Quận Bình Tân", Ward!$AA$2:$AB$11, IF(J124="Quận Bình Thạnh", Ward!$AC$2:$AD$21, IF(J124="Huyện Cần Giờ", Ward!$AE$2:$AF$8, IF(J124="Huyện Củ Chi", Ward!$AG$2:$AH$22, IF(J124="Quận Gò Vấp", Ward!$AI$2:$AJ$17, IF(J124="Huyện Hóc Môn", Ward!$AK$2:$AL$13, IF(J124="Huyện Nhà Bè", Ward!$AM$2:$AN$8, IF(J124="Quận Phú Nhuận", Ward!$AO$2:$AP$16, IF(J124="Quận Tân Bình", Ward!$AQ$2:$AR$16, IF(J124="Quận Tân Phú", Ward!$AS$2:$AT$12, IF(J124="Quận Thủ Đức", Ward!$AU$2:$AV$13)))))))))))))))))))))))), 2, FALSE), "")</f>
        <v/>
      </c>
      <c r="Y124" s="20" t="str">
        <f>IF(B124 &lt;&gt; "", VLOOKUP(B124, HospitalType!$A$2:$B$9, 2, FALSE), "")</f>
        <v/>
      </c>
    </row>
    <row r="125" spans="1:25" x14ac:dyDescent="0.25">
      <c r="A125" s="34"/>
      <c r="B125" s="24"/>
      <c r="C125" s="24"/>
      <c r="D125" s="24"/>
      <c r="E125" s="24"/>
      <c r="F125" s="24"/>
      <c r="G125" s="25"/>
      <c r="H125" s="25"/>
      <c r="I125" s="25"/>
      <c r="J125" s="25"/>
      <c r="K125" s="25"/>
      <c r="L125" s="25"/>
      <c r="M125" s="25"/>
      <c r="N125" s="25"/>
      <c r="O125" s="25"/>
      <c r="P125" s="25"/>
      <c r="Q125" s="24"/>
      <c r="R125" s="26"/>
      <c r="S125" s="26"/>
      <c r="T125" s="26"/>
      <c r="U125" s="27"/>
      <c r="V125" s="20" t="str">
        <f>IF(I125 &lt;&gt; "", VLOOKUP(I125, City!$A$1:$B$2, 2, FALSE), "" )</f>
        <v/>
      </c>
      <c r="W125" s="20" t="str">
        <f>IF(J125 &lt;&gt; "", VLOOKUP(J125, District!$A$1:$B$25, 2, FALSE), "")</f>
        <v/>
      </c>
      <c r="X125" s="21" t="str">
        <f>IF(K125 &lt;&gt; "", VLOOKUP(K125, IF(J125="Quận 1", Ward!$A$2:$B$11, IF(J125="Quận 2", Ward!$C$2:$D$12, IF(J125="Quận 3", Ward!$E$2:$F$15, IF(J125="Quận 4", Ward!$G$2:$H$16, IF(J125="Quận 5", Ward!$I$2:$J$16, IF(J125="Quận 6", Ward!$K$2:$L$15, IF(J125="Quận 7", Ward!$M$2:$N$11, IF(J125="Quận 8", Ward!$O$2:$P$17, IF(J125="Quận 9", Ward!$Q$2:$R$14, IF(J125="Quận 10", Ward!$S$2:$T$16, IF(J125="Quận 11", Ward!$U$2:$V$17, IF(J125="Quận 12", Ward!$W$2:$X$12, IF(J125="Huyện Bình Chánh", Ward!$Y$2:$Z$17, IF(J125="Quận Bình Tân", Ward!$AA$2:$AB$11, IF(J125="Quận Bình Thạnh", Ward!$AC$2:$AD$21, IF(J125="Huyện Cần Giờ", Ward!$AE$2:$AF$8, IF(J125="Huyện Củ Chi", Ward!$AG$2:$AH$22, IF(J125="Quận Gò Vấp", Ward!$AI$2:$AJ$17, IF(J125="Huyện Hóc Môn", Ward!$AK$2:$AL$13, IF(J125="Huyện Nhà Bè", Ward!$AM$2:$AN$8, IF(J125="Quận Phú Nhuận", Ward!$AO$2:$AP$16, IF(J125="Quận Tân Bình", Ward!$AQ$2:$AR$16, IF(J125="Quận Tân Phú", Ward!$AS$2:$AT$12, IF(J125="Quận Thủ Đức", Ward!$AU$2:$AV$13)))))))))))))))))))))))), 2, FALSE), "")</f>
        <v/>
      </c>
      <c r="Y125" s="20" t="str">
        <f>IF(B125 &lt;&gt; "", VLOOKUP(B125, HospitalType!$A$2:$B$9, 2, FALSE), "")</f>
        <v/>
      </c>
    </row>
    <row r="126" spans="1:25" x14ac:dyDescent="0.25">
      <c r="A126" s="34"/>
      <c r="B126" s="24"/>
      <c r="C126" s="24"/>
      <c r="D126" s="24"/>
      <c r="E126" s="24"/>
      <c r="F126" s="24"/>
      <c r="G126" s="25"/>
      <c r="H126" s="25"/>
      <c r="I126" s="25"/>
      <c r="J126" s="25"/>
      <c r="K126" s="25"/>
      <c r="L126" s="25"/>
      <c r="M126" s="25"/>
      <c r="N126" s="25"/>
      <c r="O126" s="25"/>
      <c r="P126" s="25"/>
      <c r="Q126" s="24"/>
      <c r="R126" s="26"/>
      <c r="S126" s="26"/>
      <c r="T126" s="26"/>
      <c r="U126" s="27"/>
      <c r="V126" s="20" t="str">
        <f>IF(I126 &lt;&gt; "", VLOOKUP(I126, City!$A$1:$B$2, 2, FALSE), "" )</f>
        <v/>
      </c>
      <c r="W126" s="20" t="str">
        <f>IF(J126 &lt;&gt; "", VLOOKUP(J126, District!$A$1:$B$25, 2, FALSE), "")</f>
        <v/>
      </c>
      <c r="X126" s="21" t="str">
        <f>IF(K126 &lt;&gt; "", VLOOKUP(K126, IF(J126="Quận 1", Ward!$A$2:$B$11, IF(J126="Quận 2", Ward!$C$2:$D$12, IF(J126="Quận 3", Ward!$E$2:$F$15, IF(J126="Quận 4", Ward!$G$2:$H$16, IF(J126="Quận 5", Ward!$I$2:$J$16, IF(J126="Quận 6", Ward!$K$2:$L$15, IF(J126="Quận 7", Ward!$M$2:$N$11, IF(J126="Quận 8", Ward!$O$2:$P$17, IF(J126="Quận 9", Ward!$Q$2:$R$14, IF(J126="Quận 10", Ward!$S$2:$T$16, IF(J126="Quận 11", Ward!$U$2:$V$17, IF(J126="Quận 12", Ward!$W$2:$X$12, IF(J126="Huyện Bình Chánh", Ward!$Y$2:$Z$17, IF(J126="Quận Bình Tân", Ward!$AA$2:$AB$11, IF(J126="Quận Bình Thạnh", Ward!$AC$2:$AD$21, IF(J126="Huyện Cần Giờ", Ward!$AE$2:$AF$8, IF(J126="Huyện Củ Chi", Ward!$AG$2:$AH$22, IF(J126="Quận Gò Vấp", Ward!$AI$2:$AJ$17, IF(J126="Huyện Hóc Môn", Ward!$AK$2:$AL$13, IF(J126="Huyện Nhà Bè", Ward!$AM$2:$AN$8, IF(J126="Quận Phú Nhuận", Ward!$AO$2:$AP$16, IF(J126="Quận Tân Bình", Ward!$AQ$2:$AR$16, IF(J126="Quận Tân Phú", Ward!$AS$2:$AT$12, IF(J126="Quận Thủ Đức", Ward!$AU$2:$AV$13)))))))))))))))))))))))), 2, FALSE), "")</f>
        <v/>
      </c>
      <c r="Y126" s="20" t="str">
        <f>IF(B126 &lt;&gt; "", VLOOKUP(B126, HospitalType!$A$2:$B$9, 2, FALSE), "")</f>
        <v/>
      </c>
    </row>
    <row r="127" spans="1:25" x14ac:dyDescent="0.25">
      <c r="A127" s="34"/>
      <c r="B127" s="24"/>
      <c r="C127" s="24"/>
      <c r="D127" s="24"/>
      <c r="E127" s="24"/>
      <c r="F127" s="24"/>
      <c r="G127" s="25"/>
      <c r="H127" s="25"/>
      <c r="I127" s="25"/>
      <c r="J127" s="25"/>
      <c r="K127" s="25"/>
      <c r="L127" s="25"/>
      <c r="M127" s="25"/>
      <c r="N127" s="25"/>
      <c r="O127" s="25"/>
      <c r="P127" s="25"/>
      <c r="Q127" s="24"/>
      <c r="R127" s="26"/>
      <c r="S127" s="26"/>
      <c r="T127" s="26"/>
      <c r="U127" s="27"/>
      <c r="V127" s="20" t="str">
        <f>IF(I127 &lt;&gt; "", VLOOKUP(I127, City!$A$1:$B$2, 2, FALSE), "" )</f>
        <v/>
      </c>
      <c r="W127" s="20" t="str">
        <f>IF(J127 &lt;&gt; "", VLOOKUP(J127, District!$A$1:$B$25, 2, FALSE), "")</f>
        <v/>
      </c>
      <c r="X127" s="21" t="str">
        <f>IF(K127 &lt;&gt; "", VLOOKUP(K127, IF(J127="Quận 1", Ward!$A$2:$B$11, IF(J127="Quận 2", Ward!$C$2:$D$12, IF(J127="Quận 3", Ward!$E$2:$F$15, IF(J127="Quận 4", Ward!$G$2:$H$16, IF(J127="Quận 5", Ward!$I$2:$J$16, IF(J127="Quận 6", Ward!$K$2:$L$15, IF(J127="Quận 7", Ward!$M$2:$N$11, IF(J127="Quận 8", Ward!$O$2:$P$17, IF(J127="Quận 9", Ward!$Q$2:$R$14, IF(J127="Quận 10", Ward!$S$2:$T$16, IF(J127="Quận 11", Ward!$U$2:$V$17, IF(J127="Quận 12", Ward!$W$2:$X$12, IF(J127="Huyện Bình Chánh", Ward!$Y$2:$Z$17, IF(J127="Quận Bình Tân", Ward!$AA$2:$AB$11, IF(J127="Quận Bình Thạnh", Ward!$AC$2:$AD$21, IF(J127="Huyện Cần Giờ", Ward!$AE$2:$AF$8, IF(J127="Huyện Củ Chi", Ward!$AG$2:$AH$22, IF(J127="Quận Gò Vấp", Ward!$AI$2:$AJ$17, IF(J127="Huyện Hóc Môn", Ward!$AK$2:$AL$13, IF(J127="Huyện Nhà Bè", Ward!$AM$2:$AN$8, IF(J127="Quận Phú Nhuận", Ward!$AO$2:$AP$16, IF(J127="Quận Tân Bình", Ward!$AQ$2:$AR$16, IF(J127="Quận Tân Phú", Ward!$AS$2:$AT$12, IF(J127="Quận Thủ Đức", Ward!$AU$2:$AV$13)))))))))))))))))))))))), 2, FALSE), "")</f>
        <v/>
      </c>
      <c r="Y127" s="20" t="str">
        <f>IF(B127 &lt;&gt; "", VLOOKUP(B127, HospitalType!$A$2:$B$9, 2, FALSE), "")</f>
        <v/>
      </c>
    </row>
    <row r="128" spans="1:25" x14ac:dyDescent="0.25">
      <c r="A128" s="34"/>
      <c r="B128" s="24"/>
      <c r="C128" s="24"/>
      <c r="D128" s="24"/>
      <c r="E128" s="24"/>
      <c r="F128" s="24"/>
      <c r="G128" s="25"/>
      <c r="H128" s="25"/>
      <c r="I128" s="25"/>
      <c r="J128" s="25"/>
      <c r="K128" s="25"/>
      <c r="L128" s="25"/>
      <c r="M128" s="25"/>
      <c r="N128" s="25"/>
      <c r="O128" s="25"/>
      <c r="P128" s="25"/>
      <c r="Q128" s="24"/>
      <c r="R128" s="26"/>
      <c r="S128" s="26"/>
      <c r="T128" s="26"/>
      <c r="U128" s="27"/>
      <c r="V128" s="20" t="str">
        <f>IF(I128 &lt;&gt; "", VLOOKUP(I128, City!$A$1:$B$2, 2, FALSE), "" )</f>
        <v/>
      </c>
      <c r="W128" s="20" t="str">
        <f>IF(J128 &lt;&gt; "", VLOOKUP(J128, District!$A$1:$B$25, 2, FALSE), "")</f>
        <v/>
      </c>
      <c r="X128" s="21" t="str">
        <f>IF(K128 &lt;&gt; "", VLOOKUP(K128, IF(J128="Quận 1", Ward!$A$2:$B$11, IF(J128="Quận 2", Ward!$C$2:$D$12, IF(J128="Quận 3", Ward!$E$2:$F$15, IF(J128="Quận 4", Ward!$G$2:$H$16, IF(J128="Quận 5", Ward!$I$2:$J$16, IF(J128="Quận 6", Ward!$K$2:$L$15, IF(J128="Quận 7", Ward!$M$2:$N$11, IF(J128="Quận 8", Ward!$O$2:$P$17, IF(J128="Quận 9", Ward!$Q$2:$R$14, IF(J128="Quận 10", Ward!$S$2:$T$16, IF(J128="Quận 11", Ward!$U$2:$V$17, IF(J128="Quận 12", Ward!$W$2:$X$12, IF(J128="Huyện Bình Chánh", Ward!$Y$2:$Z$17, IF(J128="Quận Bình Tân", Ward!$AA$2:$AB$11, IF(J128="Quận Bình Thạnh", Ward!$AC$2:$AD$21, IF(J128="Huyện Cần Giờ", Ward!$AE$2:$AF$8, IF(J128="Huyện Củ Chi", Ward!$AG$2:$AH$22, IF(J128="Quận Gò Vấp", Ward!$AI$2:$AJ$17, IF(J128="Huyện Hóc Môn", Ward!$AK$2:$AL$13, IF(J128="Huyện Nhà Bè", Ward!$AM$2:$AN$8, IF(J128="Quận Phú Nhuận", Ward!$AO$2:$AP$16, IF(J128="Quận Tân Bình", Ward!$AQ$2:$AR$16, IF(J128="Quận Tân Phú", Ward!$AS$2:$AT$12, IF(J128="Quận Thủ Đức", Ward!$AU$2:$AV$13)))))))))))))))))))))))), 2, FALSE), "")</f>
        <v/>
      </c>
      <c r="Y128" s="20" t="str">
        <f>IF(B128 &lt;&gt; "", VLOOKUP(B128, HospitalType!$A$2:$B$9, 2, FALSE), "")</f>
        <v/>
      </c>
    </row>
    <row r="129" spans="1:25" x14ac:dyDescent="0.25">
      <c r="A129" s="34"/>
      <c r="B129" s="24"/>
      <c r="C129" s="24"/>
      <c r="D129" s="24"/>
      <c r="E129" s="24"/>
      <c r="F129" s="24"/>
      <c r="G129" s="25"/>
      <c r="H129" s="25"/>
      <c r="I129" s="25"/>
      <c r="J129" s="25"/>
      <c r="K129" s="25"/>
      <c r="L129" s="25"/>
      <c r="M129" s="25"/>
      <c r="N129" s="25"/>
      <c r="O129" s="25"/>
      <c r="P129" s="25"/>
      <c r="Q129" s="24"/>
      <c r="R129" s="26"/>
      <c r="S129" s="26"/>
      <c r="T129" s="26"/>
      <c r="U129" s="27"/>
      <c r="V129" s="20" t="str">
        <f>IF(I129 &lt;&gt; "", VLOOKUP(I129, City!$A$1:$B$2, 2, FALSE), "" )</f>
        <v/>
      </c>
      <c r="W129" s="20" t="str">
        <f>IF(J129 &lt;&gt; "", VLOOKUP(J129, District!$A$1:$B$25, 2, FALSE), "")</f>
        <v/>
      </c>
      <c r="X129" s="21" t="str">
        <f>IF(K129 &lt;&gt; "", VLOOKUP(K129, IF(J129="Quận 1", Ward!$A$2:$B$11, IF(J129="Quận 2", Ward!$C$2:$D$12, IF(J129="Quận 3", Ward!$E$2:$F$15, IF(J129="Quận 4", Ward!$G$2:$H$16, IF(J129="Quận 5", Ward!$I$2:$J$16, IF(J129="Quận 6", Ward!$K$2:$L$15, IF(J129="Quận 7", Ward!$M$2:$N$11, IF(J129="Quận 8", Ward!$O$2:$P$17, IF(J129="Quận 9", Ward!$Q$2:$R$14, IF(J129="Quận 10", Ward!$S$2:$T$16, IF(J129="Quận 11", Ward!$U$2:$V$17, IF(J129="Quận 12", Ward!$W$2:$X$12, IF(J129="Huyện Bình Chánh", Ward!$Y$2:$Z$17, IF(J129="Quận Bình Tân", Ward!$AA$2:$AB$11, IF(J129="Quận Bình Thạnh", Ward!$AC$2:$AD$21, IF(J129="Huyện Cần Giờ", Ward!$AE$2:$AF$8, IF(J129="Huyện Củ Chi", Ward!$AG$2:$AH$22, IF(J129="Quận Gò Vấp", Ward!$AI$2:$AJ$17, IF(J129="Huyện Hóc Môn", Ward!$AK$2:$AL$13, IF(J129="Huyện Nhà Bè", Ward!$AM$2:$AN$8, IF(J129="Quận Phú Nhuận", Ward!$AO$2:$AP$16, IF(J129="Quận Tân Bình", Ward!$AQ$2:$AR$16, IF(J129="Quận Tân Phú", Ward!$AS$2:$AT$12, IF(J129="Quận Thủ Đức", Ward!$AU$2:$AV$13)))))))))))))))))))))))), 2, FALSE), "")</f>
        <v/>
      </c>
      <c r="Y129" s="20" t="str">
        <f>IF(B129 &lt;&gt; "", VLOOKUP(B129, HospitalType!$A$2:$B$9, 2, FALSE), "")</f>
        <v/>
      </c>
    </row>
    <row r="130" spans="1:25" x14ac:dyDescent="0.25">
      <c r="A130" s="34"/>
      <c r="B130" s="24"/>
      <c r="C130" s="24"/>
      <c r="D130" s="24"/>
      <c r="E130" s="24"/>
      <c r="F130" s="24"/>
      <c r="G130" s="25"/>
      <c r="H130" s="25"/>
      <c r="I130" s="25"/>
      <c r="J130" s="25"/>
      <c r="K130" s="25"/>
      <c r="L130" s="25"/>
      <c r="M130" s="25"/>
      <c r="N130" s="25"/>
      <c r="O130" s="25"/>
      <c r="P130" s="25"/>
      <c r="Q130" s="24"/>
      <c r="R130" s="26"/>
      <c r="S130" s="26"/>
      <c r="T130" s="26"/>
      <c r="U130" s="27"/>
      <c r="V130" s="20" t="str">
        <f>IF(I130 &lt;&gt; "", VLOOKUP(I130, City!$A$1:$B$2, 2, FALSE), "" )</f>
        <v/>
      </c>
      <c r="W130" s="20" t="str">
        <f>IF(J130 &lt;&gt; "", VLOOKUP(J130, District!$A$1:$B$25, 2, FALSE), "")</f>
        <v/>
      </c>
      <c r="X130" s="21" t="str">
        <f>IF(K130 &lt;&gt; "", VLOOKUP(K130, IF(J130="Quận 1", Ward!$A$2:$B$11, IF(J130="Quận 2", Ward!$C$2:$D$12, IF(J130="Quận 3", Ward!$E$2:$F$15, IF(J130="Quận 4", Ward!$G$2:$H$16, IF(J130="Quận 5", Ward!$I$2:$J$16, IF(J130="Quận 6", Ward!$K$2:$L$15, IF(J130="Quận 7", Ward!$M$2:$N$11, IF(J130="Quận 8", Ward!$O$2:$P$17, IF(J130="Quận 9", Ward!$Q$2:$R$14, IF(J130="Quận 10", Ward!$S$2:$T$16, IF(J130="Quận 11", Ward!$U$2:$V$17, IF(J130="Quận 12", Ward!$W$2:$X$12, IF(J130="Huyện Bình Chánh", Ward!$Y$2:$Z$17, IF(J130="Quận Bình Tân", Ward!$AA$2:$AB$11, IF(J130="Quận Bình Thạnh", Ward!$AC$2:$AD$21, IF(J130="Huyện Cần Giờ", Ward!$AE$2:$AF$8, IF(J130="Huyện Củ Chi", Ward!$AG$2:$AH$22, IF(J130="Quận Gò Vấp", Ward!$AI$2:$AJ$17, IF(J130="Huyện Hóc Môn", Ward!$AK$2:$AL$13, IF(J130="Huyện Nhà Bè", Ward!$AM$2:$AN$8, IF(J130="Quận Phú Nhuận", Ward!$AO$2:$AP$16, IF(J130="Quận Tân Bình", Ward!$AQ$2:$AR$16, IF(J130="Quận Tân Phú", Ward!$AS$2:$AT$12, IF(J130="Quận Thủ Đức", Ward!$AU$2:$AV$13)))))))))))))))))))))))), 2, FALSE), "")</f>
        <v/>
      </c>
      <c r="Y130" s="20" t="str">
        <f>IF(B130 &lt;&gt; "", VLOOKUP(B130, HospitalType!$A$2:$B$9, 2, FALSE), "")</f>
        <v/>
      </c>
    </row>
    <row r="131" spans="1:25" x14ac:dyDescent="0.25">
      <c r="A131" s="34"/>
      <c r="B131" s="24"/>
      <c r="C131" s="24"/>
      <c r="D131" s="24"/>
      <c r="E131" s="24"/>
      <c r="F131" s="24"/>
      <c r="G131" s="25"/>
      <c r="H131" s="25"/>
      <c r="I131" s="25"/>
      <c r="J131" s="25"/>
      <c r="K131" s="25"/>
      <c r="L131" s="25"/>
      <c r="M131" s="25"/>
      <c r="N131" s="25"/>
      <c r="O131" s="25"/>
      <c r="P131" s="25"/>
      <c r="Q131" s="24"/>
      <c r="R131" s="26"/>
      <c r="S131" s="26"/>
      <c r="T131" s="26"/>
      <c r="U131" s="27"/>
      <c r="V131" s="20" t="str">
        <f>IF(I131 &lt;&gt; "", VLOOKUP(I131, City!$A$1:$B$2, 2, FALSE), "" )</f>
        <v/>
      </c>
      <c r="W131" s="20" t="str">
        <f>IF(J131 &lt;&gt; "", VLOOKUP(J131, District!$A$1:$B$25, 2, FALSE), "")</f>
        <v/>
      </c>
      <c r="X131" s="21" t="str">
        <f>IF(K131 &lt;&gt; "", VLOOKUP(K131, IF(J131="Quận 1", Ward!$A$2:$B$11, IF(J131="Quận 2", Ward!$C$2:$D$12, IF(J131="Quận 3", Ward!$E$2:$F$15, IF(J131="Quận 4", Ward!$G$2:$H$16, IF(J131="Quận 5", Ward!$I$2:$J$16, IF(J131="Quận 6", Ward!$K$2:$L$15, IF(J131="Quận 7", Ward!$M$2:$N$11, IF(J131="Quận 8", Ward!$O$2:$P$17, IF(J131="Quận 9", Ward!$Q$2:$R$14, IF(J131="Quận 10", Ward!$S$2:$T$16, IF(J131="Quận 11", Ward!$U$2:$V$17, IF(J131="Quận 12", Ward!$W$2:$X$12, IF(J131="Huyện Bình Chánh", Ward!$Y$2:$Z$17, IF(J131="Quận Bình Tân", Ward!$AA$2:$AB$11, IF(J131="Quận Bình Thạnh", Ward!$AC$2:$AD$21, IF(J131="Huyện Cần Giờ", Ward!$AE$2:$AF$8, IF(J131="Huyện Củ Chi", Ward!$AG$2:$AH$22, IF(J131="Quận Gò Vấp", Ward!$AI$2:$AJ$17, IF(J131="Huyện Hóc Môn", Ward!$AK$2:$AL$13, IF(J131="Huyện Nhà Bè", Ward!$AM$2:$AN$8, IF(J131="Quận Phú Nhuận", Ward!$AO$2:$AP$16, IF(J131="Quận Tân Bình", Ward!$AQ$2:$AR$16, IF(J131="Quận Tân Phú", Ward!$AS$2:$AT$12, IF(J131="Quận Thủ Đức", Ward!$AU$2:$AV$13)))))))))))))))))))))))), 2, FALSE), "")</f>
        <v/>
      </c>
      <c r="Y131" s="20" t="str">
        <f>IF(B131 &lt;&gt; "", VLOOKUP(B131, HospitalType!$A$2:$B$9, 2, FALSE), "")</f>
        <v/>
      </c>
    </row>
    <row r="132" spans="1:25" x14ac:dyDescent="0.25">
      <c r="A132" s="34"/>
      <c r="B132" s="24"/>
      <c r="C132" s="24"/>
      <c r="D132" s="24"/>
      <c r="E132" s="24"/>
      <c r="F132" s="24"/>
      <c r="G132" s="25"/>
      <c r="H132" s="25"/>
      <c r="I132" s="25"/>
      <c r="J132" s="25"/>
      <c r="K132" s="25"/>
      <c r="L132" s="25"/>
      <c r="M132" s="25"/>
      <c r="N132" s="25"/>
      <c r="O132" s="25"/>
      <c r="P132" s="25"/>
      <c r="Q132" s="24"/>
      <c r="R132" s="26"/>
      <c r="S132" s="26"/>
      <c r="T132" s="26"/>
      <c r="U132" s="27"/>
      <c r="V132" s="20" t="str">
        <f>IF(I132 &lt;&gt; "", VLOOKUP(I132, City!$A$1:$B$2, 2, FALSE), "" )</f>
        <v/>
      </c>
      <c r="W132" s="20" t="str">
        <f>IF(J132 &lt;&gt; "", VLOOKUP(J132, District!$A$1:$B$25, 2, FALSE), "")</f>
        <v/>
      </c>
      <c r="X132" s="21" t="str">
        <f>IF(K132 &lt;&gt; "", VLOOKUP(K132, IF(J132="Quận 1", Ward!$A$2:$B$11, IF(J132="Quận 2", Ward!$C$2:$D$12, IF(J132="Quận 3", Ward!$E$2:$F$15, IF(J132="Quận 4", Ward!$G$2:$H$16, IF(J132="Quận 5", Ward!$I$2:$J$16, IF(J132="Quận 6", Ward!$K$2:$L$15, IF(J132="Quận 7", Ward!$M$2:$N$11, IF(J132="Quận 8", Ward!$O$2:$P$17, IF(J132="Quận 9", Ward!$Q$2:$R$14, IF(J132="Quận 10", Ward!$S$2:$T$16, IF(J132="Quận 11", Ward!$U$2:$V$17, IF(J132="Quận 12", Ward!$W$2:$X$12, IF(J132="Huyện Bình Chánh", Ward!$Y$2:$Z$17, IF(J132="Quận Bình Tân", Ward!$AA$2:$AB$11, IF(J132="Quận Bình Thạnh", Ward!$AC$2:$AD$21, IF(J132="Huyện Cần Giờ", Ward!$AE$2:$AF$8, IF(J132="Huyện Củ Chi", Ward!$AG$2:$AH$22, IF(J132="Quận Gò Vấp", Ward!$AI$2:$AJ$17, IF(J132="Huyện Hóc Môn", Ward!$AK$2:$AL$13, IF(J132="Huyện Nhà Bè", Ward!$AM$2:$AN$8, IF(J132="Quận Phú Nhuận", Ward!$AO$2:$AP$16, IF(J132="Quận Tân Bình", Ward!$AQ$2:$AR$16, IF(J132="Quận Tân Phú", Ward!$AS$2:$AT$12, IF(J132="Quận Thủ Đức", Ward!$AU$2:$AV$13)))))))))))))))))))))))), 2, FALSE), "")</f>
        <v/>
      </c>
      <c r="Y132" s="20" t="str">
        <f>IF(B132 &lt;&gt; "", VLOOKUP(B132, HospitalType!$A$2:$B$9, 2, FALSE), "")</f>
        <v/>
      </c>
    </row>
    <row r="133" spans="1:25" x14ac:dyDescent="0.25">
      <c r="A133" s="34"/>
      <c r="B133" s="24"/>
      <c r="C133" s="24"/>
      <c r="D133" s="24"/>
      <c r="E133" s="24"/>
      <c r="F133" s="24"/>
      <c r="G133" s="25"/>
      <c r="H133" s="25"/>
      <c r="I133" s="25"/>
      <c r="J133" s="25"/>
      <c r="K133" s="25"/>
      <c r="L133" s="25"/>
      <c r="M133" s="25"/>
      <c r="N133" s="25"/>
      <c r="O133" s="25"/>
      <c r="P133" s="25"/>
      <c r="Q133" s="24"/>
      <c r="R133" s="26"/>
      <c r="S133" s="26"/>
      <c r="T133" s="26"/>
      <c r="U133" s="27"/>
      <c r="V133" s="20" t="str">
        <f>IF(I133 &lt;&gt; "", VLOOKUP(I133, City!$A$1:$B$2, 2, FALSE), "" )</f>
        <v/>
      </c>
      <c r="W133" s="20" t="str">
        <f>IF(J133 &lt;&gt; "", VLOOKUP(J133, District!$A$1:$B$25, 2, FALSE), "")</f>
        <v/>
      </c>
      <c r="X133" s="21" t="str">
        <f>IF(K133 &lt;&gt; "", VLOOKUP(K133, IF(J133="Quận 1", Ward!$A$2:$B$11, IF(J133="Quận 2", Ward!$C$2:$D$12, IF(J133="Quận 3", Ward!$E$2:$F$15, IF(J133="Quận 4", Ward!$G$2:$H$16, IF(J133="Quận 5", Ward!$I$2:$J$16, IF(J133="Quận 6", Ward!$K$2:$L$15, IF(J133="Quận 7", Ward!$M$2:$N$11, IF(J133="Quận 8", Ward!$O$2:$P$17, IF(J133="Quận 9", Ward!$Q$2:$R$14, IF(J133="Quận 10", Ward!$S$2:$T$16, IF(J133="Quận 11", Ward!$U$2:$V$17, IF(J133="Quận 12", Ward!$W$2:$X$12, IF(J133="Huyện Bình Chánh", Ward!$Y$2:$Z$17, IF(J133="Quận Bình Tân", Ward!$AA$2:$AB$11, IF(J133="Quận Bình Thạnh", Ward!$AC$2:$AD$21, IF(J133="Huyện Cần Giờ", Ward!$AE$2:$AF$8, IF(J133="Huyện Củ Chi", Ward!$AG$2:$AH$22, IF(J133="Quận Gò Vấp", Ward!$AI$2:$AJ$17, IF(J133="Huyện Hóc Môn", Ward!$AK$2:$AL$13, IF(J133="Huyện Nhà Bè", Ward!$AM$2:$AN$8, IF(J133="Quận Phú Nhuận", Ward!$AO$2:$AP$16, IF(J133="Quận Tân Bình", Ward!$AQ$2:$AR$16, IF(J133="Quận Tân Phú", Ward!$AS$2:$AT$12, IF(J133="Quận Thủ Đức", Ward!$AU$2:$AV$13)))))))))))))))))))))))), 2, FALSE), "")</f>
        <v/>
      </c>
      <c r="Y133" s="20" t="str">
        <f>IF(B133 &lt;&gt; "", VLOOKUP(B133, HospitalType!$A$2:$B$9, 2, FALSE), "")</f>
        <v/>
      </c>
    </row>
    <row r="134" spans="1:25" x14ac:dyDescent="0.25">
      <c r="A134" s="34"/>
      <c r="B134" s="24"/>
      <c r="C134" s="24"/>
      <c r="D134" s="24"/>
      <c r="E134" s="24"/>
      <c r="F134" s="24"/>
      <c r="G134" s="25"/>
      <c r="H134" s="25"/>
      <c r="I134" s="25"/>
      <c r="J134" s="25"/>
      <c r="K134" s="25"/>
      <c r="L134" s="25"/>
      <c r="M134" s="25"/>
      <c r="N134" s="25"/>
      <c r="O134" s="25"/>
      <c r="P134" s="25"/>
      <c r="Q134" s="24"/>
      <c r="R134" s="26"/>
      <c r="S134" s="26"/>
      <c r="T134" s="26"/>
      <c r="U134" s="27"/>
      <c r="V134" s="20" t="str">
        <f>IF(I134 &lt;&gt; "", VLOOKUP(I134, City!$A$1:$B$2, 2, FALSE), "" )</f>
        <v/>
      </c>
      <c r="W134" s="20" t="str">
        <f>IF(J134 &lt;&gt; "", VLOOKUP(J134, District!$A$1:$B$25, 2, FALSE), "")</f>
        <v/>
      </c>
      <c r="X134" s="21" t="str">
        <f>IF(K134 &lt;&gt; "", VLOOKUP(K134, IF(J134="Quận 1", Ward!$A$2:$B$11, IF(J134="Quận 2", Ward!$C$2:$D$12, IF(J134="Quận 3", Ward!$E$2:$F$15, IF(J134="Quận 4", Ward!$G$2:$H$16, IF(J134="Quận 5", Ward!$I$2:$J$16, IF(J134="Quận 6", Ward!$K$2:$L$15, IF(J134="Quận 7", Ward!$M$2:$N$11, IF(J134="Quận 8", Ward!$O$2:$P$17, IF(J134="Quận 9", Ward!$Q$2:$R$14, IF(J134="Quận 10", Ward!$S$2:$T$16, IF(J134="Quận 11", Ward!$U$2:$V$17, IF(J134="Quận 12", Ward!$W$2:$X$12, IF(J134="Huyện Bình Chánh", Ward!$Y$2:$Z$17, IF(J134="Quận Bình Tân", Ward!$AA$2:$AB$11, IF(J134="Quận Bình Thạnh", Ward!$AC$2:$AD$21, IF(J134="Huyện Cần Giờ", Ward!$AE$2:$AF$8, IF(J134="Huyện Củ Chi", Ward!$AG$2:$AH$22, IF(J134="Quận Gò Vấp", Ward!$AI$2:$AJ$17, IF(J134="Huyện Hóc Môn", Ward!$AK$2:$AL$13, IF(J134="Huyện Nhà Bè", Ward!$AM$2:$AN$8, IF(J134="Quận Phú Nhuận", Ward!$AO$2:$AP$16, IF(J134="Quận Tân Bình", Ward!$AQ$2:$AR$16, IF(J134="Quận Tân Phú", Ward!$AS$2:$AT$12, IF(J134="Quận Thủ Đức", Ward!$AU$2:$AV$13)))))))))))))))))))))))), 2, FALSE), "")</f>
        <v/>
      </c>
      <c r="Y134" s="20" t="str">
        <f>IF(B134 &lt;&gt; "", VLOOKUP(B134, HospitalType!$A$2:$B$9, 2, FALSE), "")</f>
        <v/>
      </c>
    </row>
    <row r="135" spans="1:25" x14ac:dyDescent="0.25">
      <c r="A135" s="34"/>
      <c r="B135" s="24"/>
      <c r="C135" s="24"/>
      <c r="D135" s="24"/>
      <c r="E135" s="24"/>
      <c r="F135" s="24"/>
      <c r="G135" s="25"/>
      <c r="H135" s="25"/>
      <c r="I135" s="25"/>
      <c r="J135" s="25"/>
      <c r="K135" s="25"/>
      <c r="L135" s="25"/>
      <c r="M135" s="25"/>
      <c r="N135" s="25"/>
      <c r="O135" s="25"/>
      <c r="P135" s="25"/>
      <c r="Q135" s="24"/>
      <c r="R135" s="26"/>
      <c r="S135" s="26"/>
      <c r="T135" s="26"/>
      <c r="U135" s="27"/>
      <c r="V135" s="20" t="str">
        <f>IF(I135 &lt;&gt; "", VLOOKUP(I135, City!$A$1:$B$2, 2, FALSE), "" )</f>
        <v/>
      </c>
      <c r="W135" s="20" t="str">
        <f>IF(J135 &lt;&gt; "", VLOOKUP(J135, District!$A$1:$B$25, 2, FALSE), "")</f>
        <v/>
      </c>
      <c r="X135" s="21" t="str">
        <f>IF(K135 &lt;&gt; "", VLOOKUP(K135, IF(J135="Quận 1", Ward!$A$2:$B$11, IF(J135="Quận 2", Ward!$C$2:$D$12, IF(J135="Quận 3", Ward!$E$2:$F$15, IF(J135="Quận 4", Ward!$G$2:$H$16, IF(J135="Quận 5", Ward!$I$2:$J$16, IF(J135="Quận 6", Ward!$K$2:$L$15, IF(J135="Quận 7", Ward!$M$2:$N$11, IF(J135="Quận 8", Ward!$O$2:$P$17, IF(J135="Quận 9", Ward!$Q$2:$R$14, IF(J135="Quận 10", Ward!$S$2:$T$16, IF(J135="Quận 11", Ward!$U$2:$V$17, IF(J135="Quận 12", Ward!$W$2:$X$12, IF(J135="Huyện Bình Chánh", Ward!$Y$2:$Z$17, IF(J135="Quận Bình Tân", Ward!$AA$2:$AB$11, IF(J135="Quận Bình Thạnh", Ward!$AC$2:$AD$21, IF(J135="Huyện Cần Giờ", Ward!$AE$2:$AF$8, IF(J135="Huyện Củ Chi", Ward!$AG$2:$AH$22, IF(J135="Quận Gò Vấp", Ward!$AI$2:$AJ$17, IF(J135="Huyện Hóc Môn", Ward!$AK$2:$AL$13, IF(J135="Huyện Nhà Bè", Ward!$AM$2:$AN$8, IF(J135="Quận Phú Nhuận", Ward!$AO$2:$AP$16, IF(J135="Quận Tân Bình", Ward!$AQ$2:$AR$16, IF(J135="Quận Tân Phú", Ward!$AS$2:$AT$12, IF(J135="Quận Thủ Đức", Ward!$AU$2:$AV$13)))))))))))))))))))))))), 2, FALSE), "")</f>
        <v/>
      </c>
      <c r="Y135" s="20" t="str">
        <f>IF(B135 &lt;&gt; "", VLOOKUP(B135, HospitalType!$A$2:$B$9, 2, FALSE), "")</f>
        <v/>
      </c>
    </row>
    <row r="136" spans="1:25" x14ac:dyDescent="0.25">
      <c r="A136" s="34"/>
      <c r="B136" s="24"/>
      <c r="C136" s="24"/>
      <c r="D136" s="24"/>
      <c r="E136" s="24"/>
      <c r="F136" s="24"/>
      <c r="G136" s="25"/>
      <c r="H136" s="25"/>
      <c r="I136" s="25"/>
      <c r="J136" s="25"/>
      <c r="K136" s="25"/>
      <c r="L136" s="25"/>
      <c r="M136" s="25"/>
      <c r="N136" s="25"/>
      <c r="O136" s="25"/>
      <c r="P136" s="25"/>
      <c r="Q136" s="24"/>
      <c r="R136" s="26"/>
      <c r="S136" s="26"/>
      <c r="T136" s="26"/>
      <c r="U136" s="27"/>
      <c r="V136" s="20" t="str">
        <f>IF(I136 &lt;&gt; "", VLOOKUP(I136, City!$A$1:$B$2, 2, FALSE), "" )</f>
        <v/>
      </c>
      <c r="W136" s="20" t="str">
        <f>IF(J136 &lt;&gt; "", VLOOKUP(J136, District!$A$1:$B$25, 2, FALSE), "")</f>
        <v/>
      </c>
      <c r="X136" s="21" t="str">
        <f>IF(K136 &lt;&gt; "", VLOOKUP(K136, IF(J136="Quận 1", Ward!$A$2:$B$11, IF(J136="Quận 2", Ward!$C$2:$D$12, IF(J136="Quận 3", Ward!$E$2:$F$15, IF(J136="Quận 4", Ward!$G$2:$H$16, IF(J136="Quận 5", Ward!$I$2:$J$16, IF(J136="Quận 6", Ward!$K$2:$L$15, IF(J136="Quận 7", Ward!$M$2:$N$11, IF(J136="Quận 8", Ward!$O$2:$P$17, IF(J136="Quận 9", Ward!$Q$2:$R$14, IF(J136="Quận 10", Ward!$S$2:$T$16, IF(J136="Quận 11", Ward!$U$2:$V$17, IF(J136="Quận 12", Ward!$W$2:$X$12, IF(J136="Huyện Bình Chánh", Ward!$Y$2:$Z$17, IF(J136="Quận Bình Tân", Ward!$AA$2:$AB$11, IF(J136="Quận Bình Thạnh", Ward!$AC$2:$AD$21, IF(J136="Huyện Cần Giờ", Ward!$AE$2:$AF$8, IF(J136="Huyện Củ Chi", Ward!$AG$2:$AH$22, IF(J136="Quận Gò Vấp", Ward!$AI$2:$AJ$17, IF(J136="Huyện Hóc Môn", Ward!$AK$2:$AL$13, IF(J136="Huyện Nhà Bè", Ward!$AM$2:$AN$8, IF(J136="Quận Phú Nhuận", Ward!$AO$2:$AP$16, IF(J136="Quận Tân Bình", Ward!$AQ$2:$AR$16, IF(J136="Quận Tân Phú", Ward!$AS$2:$AT$12, IF(J136="Quận Thủ Đức", Ward!$AU$2:$AV$13)))))))))))))))))))))))), 2, FALSE), "")</f>
        <v/>
      </c>
      <c r="Y136" s="20" t="str">
        <f>IF(B136 &lt;&gt; "", VLOOKUP(B136, HospitalType!$A$2:$B$9, 2, FALSE), "")</f>
        <v/>
      </c>
    </row>
    <row r="137" spans="1:25" x14ac:dyDescent="0.25">
      <c r="A137" s="34"/>
      <c r="B137" s="24"/>
      <c r="C137" s="24"/>
      <c r="D137" s="24"/>
      <c r="E137" s="24"/>
      <c r="F137" s="24"/>
      <c r="G137" s="25"/>
      <c r="H137" s="25"/>
      <c r="I137" s="25"/>
      <c r="J137" s="25"/>
      <c r="K137" s="25"/>
      <c r="L137" s="25"/>
      <c r="M137" s="25"/>
      <c r="N137" s="25"/>
      <c r="O137" s="25"/>
      <c r="P137" s="25"/>
      <c r="Q137" s="24"/>
      <c r="R137" s="26"/>
      <c r="S137" s="26"/>
      <c r="T137" s="26"/>
      <c r="U137" s="27"/>
      <c r="V137" s="20" t="str">
        <f>IF(I137 &lt;&gt; "", VLOOKUP(I137, City!$A$1:$B$2, 2, FALSE), "" )</f>
        <v/>
      </c>
      <c r="W137" s="20" t="str">
        <f>IF(J137 &lt;&gt; "", VLOOKUP(J137, District!$A$1:$B$25, 2, FALSE), "")</f>
        <v/>
      </c>
      <c r="X137" s="21" t="str">
        <f>IF(K137 &lt;&gt; "", VLOOKUP(K137, IF(J137="Quận 1", Ward!$A$2:$B$11, IF(J137="Quận 2", Ward!$C$2:$D$12, IF(J137="Quận 3", Ward!$E$2:$F$15, IF(J137="Quận 4", Ward!$G$2:$H$16, IF(J137="Quận 5", Ward!$I$2:$J$16, IF(J137="Quận 6", Ward!$K$2:$L$15, IF(J137="Quận 7", Ward!$M$2:$N$11, IF(J137="Quận 8", Ward!$O$2:$P$17, IF(J137="Quận 9", Ward!$Q$2:$R$14, IF(J137="Quận 10", Ward!$S$2:$T$16, IF(J137="Quận 11", Ward!$U$2:$V$17, IF(J137="Quận 12", Ward!$W$2:$X$12, IF(J137="Huyện Bình Chánh", Ward!$Y$2:$Z$17, IF(J137="Quận Bình Tân", Ward!$AA$2:$AB$11, IF(J137="Quận Bình Thạnh", Ward!$AC$2:$AD$21, IF(J137="Huyện Cần Giờ", Ward!$AE$2:$AF$8, IF(J137="Huyện Củ Chi", Ward!$AG$2:$AH$22, IF(J137="Quận Gò Vấp", Ward!$AI$2:$AJ$17, IF(J137="Huyện Hóc Môn", Ward!$AK$2:$AL$13, IF(J137="Huyện Nhà Bè", Ward!$AM$2:$AN$8, IF(J137="Quận Phú Nhuận", Ward!$AO$2:$AP$16, IF(J137="Quận Tân Bình", Ward!$AQ$2:$AR$16, IF(J137="Quận Tân Phú", Ward!$AS$2:$AT$12, IF(J137="Quận Thủ Đức", Ward!$AU$2:$AV$13)))))))))))))))))))))))), 2, FALSE), "")</f>
        <v/>
      </c>
      <c r="Y137" s="20" t="str">
        <f>IF(B137 &lt;&gt; "", VLOOKUP(B137, HospitalType!$A$2:$B$9, 2, FALSE), "")</f>
        <v/>
      </c>
    </row>
    <row r="138" spans="1:25" x14ac:dyDescent="0.25">
      <c r="A138" s="34"/>
      <c r="B138" s="24"/>
      <c r="C138" s="24"/>
      <c r="D138" s="24"/>
      <c r="E138" s="24"/>
      <c r="F138" s="24"/>
      <c r="G138" s="25"/>
      <c r="H138" s="25"/>
      <c r="I138" s="25"/>
      <c r="J138" s="25"/>
      <c r="K138" s="25"/>
      <c r="L138" s="25"/>
      <c r="M138" s="25"/>
      <c r="N138" s="25"/>
      <c r="O138" s="25"/>
      <c r="P138" s="25"/>
      <c r="Q138" s="24"/>
      <c r="R138" s="26"/>
      <c r="S138" s="26"/>
      <c r="T138" s="26"/>
      <c r="U138" s="27"/>
      <c r="V138" s="20" t="str">
        <f>IF(I138 &lt;&gt; "", VLOOKUP(I138, City!$A$1:$B$2, 2, FALSE), "" )</f>
        <v/>
      </c>
      <c r="W138" s="20" t="str">
        <f>IF(J138 &lt;&gt; "", VLOOKUP(J138, District!$A$1:$B$25, 2, FALSE), "")</f>
        <v/>
      </c>
      <c r="X138" s="21" t="str">
        <f>IF(K138 &lt;&gt; "", VLOOKUP(K138, IF(J138="Quận 1", Ward!$A$2:$B$11, IF(J138="Quận 2", Ward!$C$2:$D$12, IF(J138="Quận 3", Ward!$E$2:$F$15, IF(J138="Quận 4", Ward!$G$2:$H$16, IF(J138="Quận 5", Ward!$I$2:$J$16, IF(J138="Quận 6", Ward!$K$2:$L$15, IF(J138="Quận 7", Ward!$M$2:$N$11, IF(J138="Quận 8", Ward!$O$2:$P$17, IF(J138="Quận 9", Ward!$Q$2:$R$14, IF(J138="Quận 10", Ward!$S$2:$T$16, IF(J138="Quận 11", Ward!$U$2:$V$17, IF(J138="Quận 12", Ward!$W$2:$X$12, IF(J138="Huyện Bình Chánh", Ward!$Y$2:$Z$17, IF(J138="Quận Bình Tân", Ward!$AA$2:$AB$11, IF(J138="Quận Bình Thạnh", Ward!$AC$2:$AD$21, IF(J138="Huyện Cần Giờ", Ward!$AE$2:$AF$8, IF(J138="Huyện Củ Chi", Ward!$AG$2:$AH$22, IF(J138="Quận Gò Vấp", Ward!$AI$2:$AJ$17, IF(J138="Huyện Hóc Môn", Ward!$AK$2:$AL$13, IF(J138="Huyện Nhà Bè", Ward!$AM$2:$AN$8, IF(J138="Quận Phú Nhuận", Ward!$AO$2:$AP$16, IF(J138="Quận Tân Bình", Ward!$AQ$2:$AR$16, IF(J138="Quận Tân Phú", Ward!$AS$2:$AT$12, IF(J138="Quận Thủ Đức", Ward!$AU$2:$AV$13)))))))))))))))))))))))), 2, FALSE), "")</f>
        <v/>
      </c>
      <c r="Y138" s="20" t="str">
        <f>IF(B138 &lt;&gt; "", VLOOKUP(B138, HospitalType!$A$2:$B$9, 2, FALSE), "")</f>
        <v/>
      </c>
    </row>
    <row r="139" spans="1:25" x14ac:dyDescent="0.25">
      <c r="A139" s="34"/>
      <c r="B139" s="24"/>
      <c r="C139" s="24"/>
      <c r="D139" s="24"/>
      <c r="E139" s="24"/>
      <c r="F139" s="24"/>
      <c r="G139" s="25"/>
      <c r="H139" s="25"/>
      <c r="I139" s="25"/>
      <c r="J139" s="25"/>
      <c r="K139" s="25"/>
      <c r="L139" s="25"/>
      <c r="M139" s="25"/>
      <c r="N139" s="25"/>
      <c r="O139" s="25"/>
      <c r="P139" s="25"/>
      <c r="Q139" s="24"/>
      <c r="R139" s="26"/>
      <c r="S139" s="26"/>
      <c r="T139" s="26"/>
      <c r="U139" s="27"/>
      <c r="V139" s="20" t="str">
        <f>IF(I139 &lt;&gt; "", VLOOKUP(I139, City!$A$1:$B$2, 2, FALSE), "" )</f>
        <v/>
      </c>
      <c r="W139" s="20" t="str">
        <f>IF(J139 &lt;&gt; "", VLOOKUP(J139, District!$A$1:$B$25, 2, FALSE), "")</f>
        <v/>
      </c>
      <c r="X139" s="21" t="str">
        <f>IF(K139 &lt;&gt; "", VLOOKUP(K139, IF(J139="Quận 1", Ward!$A$2:$B$11, IF(J139="Quận 2", Ward!$C$2:$D$12, IF(J139="Quận 3", Ward!$E$2:$F$15, IF(J139="Quận 4", Ward!$G$2:$H$16, IF(J139="Quận 5", Ward!$I$2:$J$16, IF(J139="Quận 6", Ward!$K$2:$L$15, IF(J139="Quận 7", Ward!$M$2:$N$11, IF(J139="Quận 8", Ward!$O$2:$P$17, IF(J139="Quận 9", Ward!$Q$2:$R$14, IF(J139="Quận 10", Ward!$S$2:$T$16, IF(J139="Quận 11", Ward!$U$2:$V$17, IF(J139="Quận 12", Ward!$W$2:$X$12, IF(J139="Huyện Bình Chánh", Ward!$Y$2:$Z$17, IF(J139="Quận Bình Tân", Ward!$AA$2:$AB$11, IF(J139="Quận Bình Thạnh", Ward!$AC$2:$AD$21, IF(J139="Huyện Cần Giờ", Ward!$AE$2:$AF$8, IF(J139="Huyện Củ Chi", Ward!$AG$2:$AH$22, IF(J139="Quận Gò Vấp", Ward!$AI$2:$AJ$17, IF(J139="Huyện Hóc Môn", Ward!$AK$2:$AL$13, IF(J139="Huyện Nhà Bè", Ward!$AM$2:$AN$8, IF(J139="Quận Phú Nhuận", Ward!$AO$2:$AP$16, IF(J139="Quận Tân Bình", Ward!$AQ$2:$AR$16, IF(J139="Quận Tân Phú", Ward!$AS$2:$AT$12, IF(J139="Quận Thủ Đức", Ward!$AU$2:$AV$13)))))))))))))))))))))))), 2, FALSE), "")</f>
        <v/>
      </c>
      <c r="Y139" s="20" t="str">
        <f>IF(B139 &lt;&gt; "", VLOOKUP(B139, HospitalType!$A$2:$B$9, 2, FALSE), "")</f>
        <v/>
      </c>
    </row>
    <row r="140" spans="1:25" x14ac:dyDescent="0.25">
      <c r="A140" s="34"/>
      <c r="B140" s="24"/>
      <c r="C140" s="24"/>
      <c r="D140" s="24"/>
      <c r="E140" s="24"/>
      <c r="F140" s="24"/>
      <c r="G140" s="25"/>
      <c r="H140" s="25"/>
      <c r="I140" s="25"/>
      <c r="J140" s="25"/>
      <c r="K140" s="25"/>
      <c r="L140" s="25"/>
      <c r="M140" s="25"/>
      <c r="N140" s="25"/>
      <c r="O140" s="25"/>
      <c r="P140" s="25"/>
      <c r="Q140" s="24"/>
      <c r="R140" s="26"/>
      <c r="S140" s="26"/>
      <c r="T140" s="26"/>
      <c r="U140" s="27"/>
      <c r="V140" s="20" t="str">
        <f>IF(I140 &lt;&gt; "", VLOOKUP(I140, City!$A$1:$B$2, 2, FALSE), "" )</f>
        <v/>
      </c>
      <c r="W140" s="20" t="str">
        <f>IF(J140 &lt;&gt; "", VLOOKUP(J140, District!$A$1:$B$25, 2, FALSE), "")</f>
        <v/>
      </c>
      <c r="X140" s="21" t="str">
        <f>IF(K140 &lt;&gt; "", VLOOKUP(K140, IF(J140="Quận 1", Ward!$A$2:$B$11, IF(J140="Quận 2", Ward!$C$2:$D$12, IF(J140="Quận 3", Ward!$E$2:$F$15, IF(J140="Quận 4", Ward!$G$2:$H$16, IF(J140="Quận 5", Ward!$I$2:$J$16, IF(J140="Quận 6", Ward!$K$2:$L$15, IF(J140="Quận 7", Ward!$M$2:$N$11, IF(J140="Quận 8", Ward!$O$2:$P$17, IF(J140="Quận 9", Ward!$Q$2:$R$14, IF(J140="Quận 10", Ward!$S$2:$T$16, IF(J140="Quận 11", Ward!$U$2:$V$17, IF(J140="Quận 12", Ward!$W$2:$X$12, IF(J140="Huyện Bình Chánh", Ward!$Y$2:$Z$17, IF(J140="Quận Bình Tân", Ward!$AA$2:$AB$11, IF(J140="Quận Bình Thạnh", Ward!$AC$2:$AD$21, IF(J140="Huyện Cần Giờ", Ward!$AE$2:$AF$8, IF(J140="Huyện Củ Chi", Ward!$AG$2:$AH$22, IF(J140="Quận Gò Vấp", Ward!$AI$2:$AJ$17, IF(J140="Huyện Hóc Môn", Ward!$AK$2:$AL$13, IF(J140="Huyện Nhà Bè", Ward!$AM$2:$AN$8, IF(J140="Quận Phú Nhuận", Ward!$AO$2:$AP$16, IF(J140="Quận Tân Bình", Ward!$AQ$2:$AR$16, IF(J140="Quận Tân Phú", Ward!$AS$2:$AT$12, IF(J140="Quận Thủ Đức", Ward!$AU$2:$AV$13)))))))))))))))))))))))), 2, FALSE), "")</f>
        <v/>
      </c>
      <c r="Y140" s="20" t="str">
        <f>IF(B140 &lt;&gt; "", VLOOKUP(B140, HospitalType!$A$2:$B$9, 2, FALSE), "")</f>
        <v/>
      </c>
    </row>
    <row r="141" spans="1:25" x14ac:dyDescent="0.25">
      <c r="A141" s="34"/>
      <c r="B141" s="24"/>
      <c r="C141" s="24"/>
      <c r="D141" s="24"/>
      <c r="E141" s="24"/>
      <c r="F141" s="24"/>
      <c r="G141" s="25"/>
      <c r="H141" s="25"/>
      <c r="I141" s="25"/>
      <c r="J141" s="25"/>
      <c r="K141" s="25"/>
      <c r="L141" s="25"/>
      <c r="M141" s="25"/>
      <c r="N141" s="25"/>
      <c r="O141" s="25"/>
      <c r="P141" s="25"/>
      <c r="Q141" s="24"/>
      <c r="R141" s="26"/>
      <c r="S141" s="26"/>
      <c r="T141" s="26"/>
      <c r="U141" s="27"/>
      <c r="V141" s="20" t="str">
        <f>IF(I141 &lt;&gt; "", VLOOKUP(I141, City!$A$1:$B$2, 2, FALSE), "" )</f>
        <v/>
      </c>
      <c r="W141" s="20" t="str">
        <f>IF(J141 &lt;&gt; "", VLOOKUP(J141, District!$A$1:$B$25, 2, FALSE), "")</f>
        <v/>
      </c>
      <c r="X141" s="21" t="str">
        <f>IF(K141 &lt;&gt; "", VLOOKUP(K141, IF(J141="Quận 1", Ward!$A$2:$B$11, IF(J141="Quận 2", Ward!$C$2:$D$12, IF(J141="Quận 3", Ward!$E$2:$F$15, IF(J141="Quận 4", Ward!$G$2:$H$16, IF(J141="Quận 5", Ward!$I$2:$J$16, IF(J141="Quận 6", Ward!$K$2:$L$15, IF(J141="Quận 7", Ward!$M$2:$N$11, IF(J141="Quận 8", Ward!$O$2:$P$17, IF(J141="Quận 9", Ward!$Q$2:$R$14, IF(J141="Quận 10", Ward!$S$2:$T$16, IF(J141="Quận 11", Ward!$U$2:$V$17, IF(J141="Quận 12", Ward!$W$2:$X$12, IF(J141="Huyện Bình Chánh", Ward!$Y$2:$Z$17, IF(J141="Quận Bình Tân", Ward!$AA$2:$AB$11, IF(J141="Quận Bình Thạnh", Ward!$AC$2:$AD$21, IF(J141="Huyện Cần Giờ", Ward!$AE$2:$AF$8, IF(J141="Huyện Củ Chi", Ward!$AG$2:$AH$22, IF(J141="Quận Gò Vấp", Ward!$AI$2:$AJ$17, IF(J141="Huyện Hóc Môn", Ward!$AK$2:$AL$13, IF(J141="Huyện Nhà Bè", Ward!$AM$2:$AN$8, IF(J141="Quận Phú Nhuận", Ward!$AO$2:$AP$16, IF(J141="Quận Tân Bình", Ward!$AQ$2:$AR$16, IF(J141="Quận Tân Phú", Ward!$AS$2:$AT$12, IF(J141="Quận Thủ Đức", Ward!$AU$2:$AV$13)))))))))))))))))))))))), 2, FALSE), "")</f>
        <v/>
      </c>
      <c r="Y141" s="20" t="str">
        <f>IF(B141 &lt;&gt; "", VLOOKUP(B141, HospitalType!$A$2:$B$9, 2, FALSE), "")</f>
        <v/>
      </c>
    </row>
    <row r="142" spans="1:25" x14ac:dyDescent="0.25">
      <c r="A142" s="34"/>
      <c r="B142" s="24"/>
      <c r="C142" s="24"/>
      <c r="D142" s="24"/>
      <c r="E142" s="24"/>
      <c r="F142" s="24"/>
      <c r="G142" s="25"/>
      <c r="H142" s="25"/>
      <c r="I142" s="25"/>
      <c r="J142" s="25"/>
      <c r="K142" s="25"/>
      <c r="L142" s="25"/>
      <c r="M142" s="25"/>
      <c r="N142" s="25"/>
      <c r="O142" s="25"/>
      <c r="P142" s="25"/>
      <c r="Q142" s="24"/>
      <c r="R142" s="26"/>
      <c r="S142" s="26"/>
      <c r="T142" s="26"/>
      <c r="U142" s="27"/>
      <c r="V142" s="20" t="str">
        <f>IF(I142 &lt;&gt; "", VLOOKUP(I142, City!$A$1:$B$2, 2, FALSE), "" )</f>
        <v/>
      </c>
      <c r="W142" s="20" t="str">
        <f>IF(J142 &lt;&gt; "", VLOOKUP(J142, District!$A$1:$B$25, 2, FALSE), "")</f>
        <v/>
      </c>
      <c r="X142" s="21" t="str">
        <f>IF(K142 &lt;&gt; "", VLOOKUP(K142, IF(J142="Quận 1", Ward!$A$2:$B$11, IF(J142="Quận 2", Ward!$C$2:$D$12, IF(J142="Quận 3", Ward!$E$2:$F$15, IF(J142="Quận 4", Ward!$G$2:$H$16, IF(J142="Quận 5", Ward!$I$2:$J$16, IF(J142="Quận 6", Ward!$K$2:$L$15, IF(J142="Quận 7", Ward!$M$2:$N$11, IF(J142="Quận 8", Ward!$O$2:$P$17, IF(J142="Quận 9", Ward!$Q$2:$R$14, IF(J142="Quận 10", Ward!$S$2:$T$16, IF(J142="Quận 11", Ward!$U$2:$V$17, IF(J142="Quận 12", Ward!$W$2:$X$12, IF(J142="Huyện Bình Chánh", Ward!$Y$2:$Z$17, IF(J142="Quận Bình Tân", Ward!$AA$2:$AB$11, IF(J142="Quận Bình Thạnh", Ward!$AC$2:$AD$21, IF(J142="Huyện Cần Giờ", Ward!$AE$2:$AF$8, IF(J142="Huyện Củ Chi", Ward!$AG$2:$AH$22, IF(J142="Quận Gò Vấp", Ward!$AI$2:$AJ$17, IF(J142="Huyện Hóc Môn", Ward!$AK$2:$AL$13, IF(J142="Huyện Nhà Bè", Ward!$AM$2:$AN$8, IF(J142="Quận Phú Nhuận", Ward!$AO$2:$AP$16, IF(J142="Quận Tân Bình", Ward!$AQ$2:$AR$16, IF(J142="Quận Tân Phú", Ward!$AS$2:$AT$12, IF(J142="Quận Thủ Đức", Ward!$AU$2:$AV$13)))))))))))))))))))))))), 2, FALSE), "")</f>
        <v/>
      </c>
      <c r="Y142" s="20" t="str">
        <f>IF(B142 &lt;&gt; "", VLOOKUP(B142, HospitalType!$A$2:$B$9, 2, FALSE), "")</f>
        <v/>
      </c>
    </row>
    <row r="143" spans="1:25" x14ac:dyDescent="0.25">
      <c r="A143" s="34"/>
      <c r="B143" s="24"/>
      <c r="C143" s="24"/>
      <c r="D143" s="24"/>
      <c r="E143" s="24"/>
      <c r="F143" s="24"/>
      <c r="G143" s="25"/>
      <c r="H143" s="25"/>
      <c r="I143" s="25"/>
      <c r="J143" s="25"/>
      <c r="K143" s="25"/>
      <c r="L143" s="25"/>
      <c r="M143" s="25"/>
      <c r="N143" s="25"/>
      <c r="O143" s="25"/>
      <c r="P143" s="25"/>
      <c r="Q143" s="24"/>
      <c r="R143" s="26"/>
      <c r="S143" s="26"/>
      <c r="T143" s="26"/>
      <c r="U143" s="27"/>
      <c r="V143" s="20" t="str">
        <f>IF(I143 &lt;&gt; "", VLOOKUP(I143, City!$A$1:$B$2, 2, FALSE), "" )</f>
        <v/>
      </c>
      <c r="W143" s="20" t="str">
        <f>IF(J143 &lt;&gt; "", VLOOKUP(J143, District!$A$1:$B$25, 2, FALSE), "")</f>
        <v/>
      </c>
      <c r="X143" s="21" t="str">
        <f>IF(K143 &lt;&gt; "", VLOOKUP(K143, IF(J143="Quận 1", Ward!$A$2:$B$11, IF(J143="Quận 2", Ward!$C$2:$D$12, IF(J143="Quận 3", Ward!$E$2:$F$15, IF(J143="Quận 4", Ward!$G$2:$H$16, IF(J143="Quận 5", Ward!$I$2:$J$16, IF(J143="Quận 6", Ward!$K$2:$L$15, IF(J143="Quận 7", Ward!$M$2:$N$11, IF(J143="Quận 8", Ward!$O$2:$P$17, IF(J143="Quận 9", Ward!$Q$2:$R$14, IF(J143="Quận 10", Ward!$S$2:$T$16, IF(J143="Quận 11", Ward!$U$2:$V$17, IF(J143="Quận 12", Ward!$W$2:$X$12, IF(J143="Huyện Bình Chánh", Ward!$Y$2:$Z$17, IF(J143="Quận Bình Tân", Ward!$AA$2:$AB$11, IF(J143="Quận Bình Thạnh", Ward!$AC$2:$AD$21, IF(J143="Huyện Cần Giờ", Ward!$AE$2:$AF$8, IF(J143="Huyện Củ Chi", Ward!$AG$2:$AH$22, IF(J143="Quận Gò Vấp", Ward!$AI$2:$AJ$17, IF(J143="Huyện Hóc Môn", Ward!$AK$2:$AL$13, IF(J143="Huyện Nhà Bè", Ward!$AM$2:$AN$8, IF(J143="Quận Phú Nhuận", Ward!$AO$2:$AP$16, IF(J143="Quận Tân Bình", Ward!$AQ$2:$AR$16, IF(J143="Quận Tân Phú", Ward!$AS$2:$AT$12, IF(J143="Quận Thủ Đức", Ward!$AU$2:$AV$13)))))))))))))))))))))))), 2, FALSE), "")</f>
        <v/>
      </c>
      <c r="Y143" s="20" t="str">
        <f>IF(B143 &lt;&gt; "", VLOOKUP(B143, HospitalType!$A$2:$B$9, 2, FALSE), "")</f>
        <v/>
      </c>
    </row>
    <row r="144" spans="1:25" x14ac:dyDescent="0.25">
      <c r="A144" s="34"/>
      <c r="B144" s="24"/>
      <c r="C144" s="24"/>
      <c r="D144" s="24"/>
      <c r="E144" s="24"/>
      <c r="F144" s="24"/>
      <c r="G144" s="25"/>
      <c r="H144" s="25"/>
      <c r="I144" s="25"/>
      <c r="J144" s="25"/>
      <c r="K144" s="25"/>
      <c r="L144" s="25"/>
      <c r="M144" s="25"/>
      <c r="N144" s="25"/>
      <c r="O144" s="25"/>
      <c r="P144" s="25"/>
      <c r="Q144" s="24"/>
      <c r="R144" s="26"/>
      <c r="S144" s="26"/>
      <c r="T144" s="26"/>
      <c r="U144" s="27"/>
      <c r="V144" s="20" t="str">
        <f>IF(I144 &lt;&gt; "", VLOOKUP(I144, City!$A$1:$B$2, 2, FALSE), "" )</f>
        <v/>
      </c>
      <c r="W144" s="20" t="str">
        <f>IF(J144 &lt;&gt; "", VLOOKUP(J144, District!$A$1:$B$25, 2, FALSE), "")</f>
        <v/>
      </c>
      <c r="X144" s="21" t="str">
        <f>IF(K144 &lt;&gt; "", VLOOKUP(K144, IF(J144="Quận 1", Ward!$A$2:$B$11, IF(J144="Quận 2", Ward!$C$2:$D$12, IF(J144="Quận 3", Ward!$E$2:$F$15, IF(J144="Quận 4", Ward!$G$2:$H$16, IF(J144="Quận 5", Ward!$I$2:$J$16, IF(J144="Quận 6", Ward!$K$2:$L$15, IF(J144="Quận 7", Ward!$M$2:$N$11, IF(J144="Quận 8", Ward!$O$2:$P$17, IF(J144="Quận 9", Ward!$Q$2:$R$14, IF(J144="Quận 10", Ward!$S$2:$T$16, IF(J144="Quận 11", Ward!$U$2:$V$17, IF(J144="Quận 12", Ward!$W$2:$X$12, IF(J144="Huyện Bình Chánh", Ward!$Y$2:$Z$17, IF(J144="Quận Bình Tân", Ward!$AA$2:$AB$11, IF(J144="Quận Bình Thạnh", Ward!$AC$2:$AD$21, IF(J144="Huyện Cần Giờ", Ward!$AE$2:$AF$8, IF(J144="Huyện Củ Chi", Ward!$AG$2:$AH$22, IF(J144="Quận Gò Vấp", Ward!$AI$2:$AJ$17, IF(J144="Huyện Hóc Môn", Ward!$AK$2:$AL$13, IF(J144="Huyện Nhà Bè", Ward!$AM$2:$AN$8, IF(J144="Quận Phú Nhuận", Ward!$AO$2:$AP$16, IF(J144="Quận Tân Bình", Ward!$AQ$2:$AR$16, IF(J144="Quận Tân Phú", Ward!$AS$2:$AT$12, IF(J144="Quận Thủ Đức", Ward!$AU$2:$AV$13)))))))))))))))))))))))), 2, FALSE), "")</f>
        <v/>
      </c>
      <c r="Y144" s="20" t="str">
        <f>IF(B144 &lt;&gt; "", VLOOKUP(B144, HospitalType!$A$2:$B$9, 2, FALSE), "")</f>
        <v/>
      </c>
    </row>
    <row r="145" spans="1:25" x14ac:dyDescent="0.25">
      <c r="A145" s="34"/>
      <c r="B145" s="24"/>
      <c r="C145" s="24"/>
      <c r="D145" s="24"/>
      <c r="E145" s="24"/>
      <c r="F145" s="24"/>
      <c r="G145" s="25"/>
      <c r="H145" s="25"/>
      <c r="I145" s="25"/>
      <c r="J145" s="25"/>
      <c r="K145" s="25"/>
      <c r="L145" s="25"/>
      <c r="M145" s="25"/>
      <c r="N145" s="25"/>
      <c r="O145" s="25"/>
      <c r="P145" s="25"/>
      <c r="Q145" s="24"/>
      <c r="R145" s="26"/>
      <c r="S145" s="26"/>
      <c r="T145" s="26"/>
      <c r="U145" s="27"/>
      <c r="V145" s="20" t="str">
        <f>IF(I145 &lt;&gt; "", VLOOKUP(I145, City!$A$1:$B$2, 2, FALSE), "" )</f>
        <v/>
      </c>
      <c r="W145" s="20" t="str">
        <f>IF(J145 &lt;&gt; "", VLOOKUP(J145, District!$A$1:$B$25, 2, FALSE), "")</f>
        <v/>
      </c>
      <c r="X145" s="21" t="str">
        <f>IF(K145 &lt;&gt; "", VLOOKUP(K145, IF(J145="Quận 1", Ward!$A$2:$B$11, IF(J145="Quận 2", Ward!$C$2:$D$12, IF(J145="Quận 3", Ward!$E$2:$F$15, IF(J145="Quận 4", Ward!$G$2:$H$16, IF(J145="Quận 5", Ward!$I$2:$J$16, IF(J145="Quận 6", Ward!$K$2:$L$15, IF(J145="Quận 7", Ward!$M$2:$N$11, IF(J145="Quận 8", Ward!$O$2:$P$17, IF(J145="Quận 9", Ward!$Q$2:$R$14, IF(J145="Quận 10", Ward!$S$2:$T$16, IF(J145="Quận 11", Ward!$U$2:$V$17, IF(J145="Quận 12", Ward!$W$2:$X$12, IF(J145="Huyện Bình Chánh", Ward!$Y$2:$Z$17, IF(J145="Quận Bình Tân", Ward!$AA$2:$AB$11, IF(J145="Quận Bình Thạnh", Ward!$AC$2:$AD$21, IF(J145="Huyện Cần Giờ", Ward!$AE$2:$AF$8, IF(J145="Huyện Củ Chi", Ward!$AG$2:$AH$22, IF(J145="Quận Gò Vấp", Ward!$AI$2:$AJ$17, IF(J145="Huyện Hóc Môn", Ward!$AK$2:$AL$13, IF(J145="Huyện Nhà Bè", Ward!$AM$2:$AN$8, IF(J145="Quận Phú Nhuận", Ward!$AO$2:$AP$16, IF(J145="Quận Tân Bình", Ward!$AQ$2:$AR$16, IF(J145="Quận Tân Phú", Ward!$AS$2:$AT$12, IF(J145="Quận Thủ Đức", Ward!$AU$2:$AV$13)))))))))))))))))))))))), 2, FALSE), "")</f>
        <v/>
      </c>
      <c r="Y145" s="20" t="str">
        <f>IF(B145 &lt;&gt; "", VLOOKUP(B145, HospitalType!$A$2:$B$9, 2, FALSE), "")</f>
        <v/>
      </c>
    </row>
    <row r="146" spans="1:25" x14ac:dyDescent="0.25">
      <c r="A146" s="34"/>
      <c r="B146" s="24"/>
      <c r="C146" s="24"/>
      <c r="D146" s="24"/>
      <c r="E146" s="24"/>
      <c r="F146" s="24"/>
      <c r="G146" s="25"/>
      <c r="H146" s="25"/>
      <c r="I146" s="25"/>
      <c r="J146" s="25"/>
      <c r="K146" s="25"/>
      <c r="L146" s="25"/>
      <c r="M146" s="25"/>
      <c r="N146" s="25"/>
      <c r="O146" s="25"/>
      <c r="P146" s="25"/>
      <c r="Q146" s="24"/>
      <c r="R146" s="26"/>
      <c r="S146" s="26"/>
      <c r="T146" s="26"/>
      <c r="U146" s="27"/>
      <c r="V146" s="20" t="str">
        <f>IF(I146 &lt;&gt; "", VLOOKUP(I146, City!$A$1:$B$2, 2, FALSE), "" )</f>
        <v/>
      </c>
      <c r="W146" s="20" t="str">
        <f>IF(J146 &lt;&gt; "", VLOOKUP(J146, District!$A$1:$B$25, 2, FALSE), "")</f>
        <v/>
      </c>
      <c r="X146" s="21" t="str">
        <f>IF(K146 &lt;&gt; "", VLOOKUP(K146, IF(J146="Quận 1", Ward!$A$2:$B$11, IF(J146="Quận 2", Ward!$C$2:$D$12, IF(J146="Quận 3", Ward!$E$2:$F$15, IF(J146="Quận 4", Ward!$G$2:$H$16, IF(J146="Quận 5", Ward!$I$2:$J$16, IF(J146="Quận 6", Ward!$K$2:$L$15, IF(J146="Quận 7", Ward!$M$2:$N$11, IF(J146="Quận 8", Ward!$O$2:$P$17, IF(J146="Quận 9", Ward!$Q$2:$R$14, IF(J146="Quận 10", Ward!$S$2:$T$16, IF(J146="Quận 11", Ward!$U$2:$V$17, IF(J146="Quận 12", Ward!$W$2:$X$12, IF(J146="Huyện Bình Chánh", Ward!$Y$2:$Z$17, IF(J146="Quận Bình Tân", Ward!$AA$2:$AB$11, IF(J146="Quận Bình Thạnh", Ward!$AC$2:$AD$21, IF(J146="Huyện Cần Giờ", Ward!$AE$2:$AF$8, IF(J146="Huyện Củ Chi", Ward!$AG$2:$AH$22, IF(J146="Quận Gò Vấp", Ward!$AI$2:$AJ$17, IF(J146="Huyện Hóc Môn", Ward!$AK$2:$AL$13, IF(J146="Huyện Nhà Bè", Ward!$AM$2:$AN$8, IF(J146="Quận Phú Nhuận", Ward!$AO$2:$AP$16, IF(J146="Quận Tân Bình", Ward!$AQ$2:$AR$16, IF(J146="Quận Tân Phú", Ward!$AS$2:$AT$12, IF(J146="Quận Thủ Đức", Ward!$AU$2:$AV$13)))))))))))))))))))))))), 2, FALSE), "")</f>
        <v/>
      </c>
      <c r="Y146" s="20" t="str">
        <f>IF(B146 &lt;&gt; "", VLOOKUP(B146, HospitalType!$A$2:$B$9, 2, FALSE), "")</f>
        <v/>
      </c>
    </row>
    <row r="147" spans="1:25" x14ac:dyDescent="0.25">
      <c r="A147" s="34"/>
      <c r="B147" s="24"/>
      <c r="C147" s="24"/>
      <c r="D147" s="24"/>
      <c r="E147" s="24"/>
      <c r="F147" s="24"/>
      <c r="G147" s="25"/>
      <c r="H147" s="25"/>
      <c r="I147" s="25"/>
      <c r="J147" s="25"/>
      <c r="K147" s="25"/>
      <c r="L147" s="25"/>
      <c r="M147" s="25"/>
      <c r="N147" s="25"/>
      <c r="O147" s="25"/>
      <c r="P147" s="25"/>
      <c r="Q147" s="24"/>
      <c r="R147" s="26"/>
      <c r="S147" s="26"/>
      <c r="T147" s="26"/>
      <c r="U147" s="27"/>
      <c r="V147" s="20" t="str">
        <f>IF(I147 &lt;&gt; "", VLOOKUP(I147, City!$A$1:$B$2, 2, FALSE), "" )</f>
        <v/>
      </c>
      <c r="W147" s="20" t="str">
        <f>IF(J147 &lt;&gt; "", VLOOKUP(J147, District!$A$1:$B$25, 2, FALSE), "")</f>
        <v/>
      </c>
      <c r="X147" s="21" t="str">
        <f>IF(K147 &lt;&gt; "", VLOOKUP(K147, IF(J147="Quận 1", Ward!$A$2:$B$11, IF(J147="Quận 2", Ward!$C$2:$D$12, IF(J147="Quận 3", Ward!$E$2:$F$15, IF(J147="Quận 4", Ward!$G$2:$H$16, IF(J147="Quận 5", Ward!$I$2:$J$16, IF(J147="Quận 6", Ward!$K$2:$L$15, IF(J147="Quận 7", Ward!$M$2:$N$11, IF(J147="Quận 8", Ward!$O$2:$P$17, IF(J147="Quận 9", Ward!$Q$2:$R$14, IF(J147="Quận 10", Ward!$S$2:$T$16, IF(J147="Quận 11", Ward!$U$2:$V$17, IF(J147="Quận 12", Ward!$W$2:$X$12, IF(J147="Huyện Bình Chánh", Ward!$Y$2:$Z$17, IF(J147="Quận Bình Tân", Ward!$AA$2:$AB$11, IF(J147="Quận Bình Thạnh", Ward!$AC$2:$AD$21, IF(J147="Huyện Cần Giờ", Ward!$AE$2:$AF$8, IF(J147="Huyện Củ Chi", Ward!$AG$2:$AH$22, IF(J147="Quận Gò Vấp", Ward!$AI$2:$AJ$17, IF(J147="Huyện Hóc Môn", Ward!$AK$2:$AL$13, IF(J147="Huyện Nhà Bè", Ward!$AM$2:$AN$8, IF(J147="Quận Phú Nhuận", Ward!$AO$2:$AP$16, IF(J147="Quận Tân Bình", Ward!$AQ$2:$AR$16, IF(J147="Quận Tân Phú", Ward!$AS$2:$AT$12, IF(J147="Quận Thủ Đức", Ward!$AU$2:$AV$13)))))))))))))))))))))))), 2, FALSE), "")</f>
        <v/>
      </c>
      <c r="Y147" s="20" t="str">
        <f>IF(B147 &lt;&gt; "", VLOOKUP(B147, HospitalType!$A$2:$B$9, 2, FALSE), "")</f>
        <v/>
      </c>
    </row>
    <row r="148" spans="1:25" x14ac:dyDescent="0.25">
      <c r="A148" s="34"/>
      <c r="B148" s="24"/>
      <c r="C148" s="24"/>
      <c r="D148" s="24"/>
      <c r="E148" s="24"/>
      <c r="F148" s="24"/>
      <c r="G148" s="25"/>
      <c r="H148" s="25"/>
      <c r="I148" s="25"/>
      <c r="J148" s="25"/>
      <c r="K148" s="25"/>
      <c r="L148" s="25"/>
      <c r="M148" s="25"/>
      <c r="N148" s="25"/>
      <c r="O148" s="25"/>
      <c r="P148" s="25"/>
      <c r="Q148" s="24"/>
      <c r="R148" s="26"/>
      <c r="S148" s="26"/>
      <c r="T148" s="26"/>
      <c r="U148" s="27"/>
      <c r="V148" s="20" t="str">
        <f>IF(I148 &lt;&gt; "", VLOOKUP(I148, City!$A$1:$B$2, 2, FALSE), "" )</f>
        <v/>
      </c>
      <c r="W148" s="20" t="str">
        <f>IF(J148 &lt;&gt; "", VLOOKUP(J148, District!$A$1:$B$25, 2, FALSE), "")</f>
        <v/>
      </c>
      <c r="X148" s="21" t="str">
        <f>IF(K148 &lt;&gt; "", VLOOKUP(K148, IF(J148="Quận 1", Ward!$A$2:$B$11, IF(J148="Quận 2", Ward!$C$2:$D$12, IF(J148="Quận 3", Ward!$E$2:$F$15, IF(J148="Quận 4", Ward!$G$2:$H$16, IF(J148="Quận 5", Ward!$I$2:$J$16, IF(J148="Quận 6", Ward!$K$2:$L$15, IF(J148="Quận 7", Ward!$M$2:$N$11, IF(J148="Quận 8", Ward!$O$2:$P$17, IF(J148="Quận 9", Ward!$Q$2:$R$14, IF(J148="Quận 10", Ward!$S$2:$T$16, IF(J148="Quận 11", Ward!$U$2:$V$17, IF(J148="Quận 12", Ward!$W$2:$X$12, IF(J148="Huyện Bình Chánh", Ward!$Y$2:$Z$17, IF(J148="Quận Bình Tân", Ward!$AA$2:$AB$11, IF(J148="Quận Bình Thạnh", Ward!$AC$2:$AD$21, IF(J148="Huyện Cần Giờ", Ward!$AE$2:$AF$8, IF(J148="Huyện Củ Chi", Ward!$AG$2:$AH$22, IF(J148="Quận Gò Vấp", Ward!$AI$2:$AJ$17, IF(J148="Huyện Hóc Môn", Ward!$AK$2:$AL$13, IF(J148="Huyện Nhà Bè", Ward!$AM$2:$AN$8, IF(J148="Quận Phú Nhuận", Ward!$AO$2:$AP$16, IF(J148="Quận Tân Bình", Ward!$AQ$2:$AR$16, IF(J148="Quận Tân Phú", Ward!$AS$2:$AT$12, IF(J148="Quận Thủ Đức", Ward!$AU$2:$AV$13)))))))))))))))))))))))), 2, FALSE), "")</f>
        <v/>
      </c>
      <c r="Y148" s="20" t="str">
        <f>IF(B148 &lt;&gt; "", VLOOKUP(B148, HospitalType!$A$2:$B$9, 2, FALSE), "")</f>
        <v/>
      </c>
    </row>
    <row r="149" spans="1:25" x14ac:dyDescent="0.25">
      <c r="A149" s="34"/>
      <c r="B149" s="24"/>
      <c r="C149" s="24"/>
      <c r="D149" s="24"/>
      <c r="E149" s="24"/>
      <c r="F149" s="24"/>
      <c r="G149" s="25"/>
      <c r="H149" s="25"/>
      <c r="I149" s="25"/>
      <c r="J149" s="25"/>
      <c r="K149" s="25"/>
      <c r="L149" s="25"/>
      <c r="M149" s="25"/>
      <c r="N149" s="25"/>
      <c r="O149" s="25"/>
      <c r="P149" s="25"/>
      <c r="Q149" s="24"/>
      <c r="R149" s="26"/>
      <c r="S149" s="26"/>
      <c r="T149" s="26"/>
      <c r="U149" s="27"/>
      <c r="V149" s="20" t="str">
        <f>IF(I149 &lt;&gt; "", VLOOKUP(I149, City!$A$1:$B$2, 2, FALSE), "" )</f>
        <v/>
      </c>
      <c r="W149" s="20" t="str">
        <f>IF(J149 &lt;&gt; "", VLOOKUP(J149, District!$A$1:$B$25, 2, FALSE), "")</f>
        <v/>
      </c>
      <c r="X149" s="21" t="str">
        <f>IF(K149 &lt;&gt; "", VLOOKUP(K149, IF(J149="Quận 1", Ward!$A$2:$B$11, IF(J149="Quận 2", Ward!$C$2:$D$12, IF(J149="Quận 3", Ward!$E$2:$F$15, IF(J149="Quận 4", Ward!$G$2:$H$16, IF(J149="Quận 5", Ward!$I$2:$J$16, IF(J149="Quận 6", Ward!$K$2:$L$15, IF(J149="Quận 7", Ward!$M$2:$N$11, IF(J149="Quận 8", Ward!$O$2:$P$17, IF(J149="Quận 9", Ward!$Q$2:$R$14, IF(J149="Quận 10", Ward!$S$2:$T$16, IF(J149="Quận 11", Ward!$U$2:$V$17, IF(J149="Quận 12", Ward!$W$2:$X$12, IF(J149="Huyện Bình Chánh", Ward!$Y$2:$Z$17, IF(J149="Quận Bình Tân", Ward!$AA$2:$AB$11, IF(J149="Quận Bình Thạnh", Ward!$AC$2:$AD$21, IF(J149="Huyện Cần Giờ", Ward!$AE$2:$AF$8, IF(J149="Huyện Củ Chi", Ward!$AG$2:$AH$22, IF(J149="Quận Gò Vấp", Ward!$AI$2:$AJ$17, IF(J149="Huyện Hóc Môn", Ward!$AK$2:$AL$13, IF(J149="Huyện Nhà Bè", Ward!$AM$2:$AN$8, IF(J149="Quận Phú Nhuận", Ward!$AO$2:$AP$16, IF(J149="Quận Tân Bình", Ward!$AQ$2:$AR$16, IF(J149="Quận Tân Phú", Ward!$AS$2:$AT$12, IF(J149="Quận Thủ Đức", Ward!$AU$2:$AV$13)))))))))))))))))))))))), 2, FALSE), "")</f>
        <v/>
      </c>
      <c r="Y149" s="20" t="str">
        <f>IF(B149 &lt;&gt; "", VLOOKUP(B149, HospitalType!$A$2:$B$9, 2, FALSE), "")</f>
        <v/>
      </c>
    </row>
    <row r="150" spans="1:25" x14ac:dyDescent="0.25">
      <c r="A150" s="34"/>
      <c r="B150" s="24"/>
      <c r="C150" s="24"/>
      <c r="D150" s="24"/>
      <c r="E150" s="24"/>
      <c r="F150" s="24"/>
      <c r="G150" s="25"/>
      <c r="H150" s="25"/>
      <c r="I150" s="25"/>
      <c r="J150" s="25"/>
      <c r="K150" s="25"/>
      <c r="L150" s="25"/>
      <c r="M150" s="25"/>
      <c r="N150" s="25"/>
      <c r="O150" s="25"/>
      <c r="P150" s="25"/>
      <c r="Q150" s="24"/>
      <c r="R150" s="26"/>
      <c r="S150" s="26"/>
      <c r="T150" s="26"/>
      <c r="U150" s="27"/>
      <c r="V150" s="20" t="str">
        <f>IF(I150 &lt;&gt; "", VLOOKUP(I150, City!$A$1:$B$2, 2, FALSE), "" )</f>
        <v/>
      </c>
      <c r="W150" s="20" t="str">
        <f>IF(J150 &lt;&gt; "", VLOOKUP(J150, District!$A$1:$B$25, 2, FALSE), "")</f>
        <v/>
      </c>
      <c r="X150" s="21" t="str">
        <f>IF(K150 &lt;&gt; "", VLOOKUP(K150, IF(J150="Quận 1", Ward!$A$2:$B$11, IF(J150="Quận 2", Ward!$C$2:$D$12, IF(J150="Quận 3", Ward!$E$2:$F$15, IF(J150="Quận 4", Ward!$G$2:$H$16, IF(J150="Quận 5", Ward!$I$2:$J$16, IF(J150="Quận 6", Ward!$K$2:$L$15, IF(J150="Quận 7", Ward!$M$2:$N$11, IF(J150="Quận 8", Ward!$O$2:$P$17, IF(J150="Quận 9", Ward!$Q$2:$R$14, IF(J150="Quận 10", Ward!$S$2:$T$16, IF(J150="Quận 11", Ward!$U$2:$V$17, IF(J150="Quận 12", Ward!$W$2:$X$12, IF(J150="Huyện Bình Chánh", Ward!$Y$2:$Z$17, IF(J150="Quận Bình Tân", Ward!$AA$2:$AB$11, IF(J150="Quận Bình Thạnh", Ward!$AC$2:$AD$21, IF(J150="Huyện Cần Giờ", Ward!$AE$2:$AF$8, IF(J150="Huyện Củ Chi", Ward!$AG$2:$AH$22, IF(J150="Quận Gò Vấp", Ward!$AI$2:$AJ$17, IF(J150="Huyện Hóc Môn", Ward!$AK$2:$AL$13, IF(J150="Huyện Nhà Bè", Ward!$AM$2:$AN$8, IF(J150="Quận Phú Nhuận", Ward!$AO$2:$AP$16, IF(J150="Quận Tân Bình", Ward!$AQ$2:$AR$16, IF(J150="Quận Tân Phú", Ward!$AS$2:$AT$12, IF(J150="Quận Thủ Đức", Ward!$AU$2:$AV$13)))))))))))))))))))))))), 2, FALSE), "")</f>
        <v/>
      </c>
      <c r="Y150" s="20" t="str">
        <f>IF(B150 &lt;&gt; "", VLOOKUP(B150, HospitalType!$A$2:$B$9, 2, FALSE), "")</f>
        <v/>
      </c>
    </row>
    <row r="151" spans="1:25" x14ac:dyDescent="0.25">
      <c r="A151" s="34"/>
      <c r="B151" s="24"/>
      <c r="C151" s="24"/>
      <c r="D151" s="24"/>
      <c r="E151" s="24"/>
      <c r="F151" s="24"/>
      <c r="G151" s="25"/>
      <c r="H151" s="25"/>
      <c r="I151" s="25"/>
      <c r="J151" s="25"/>
      <c r="K151" s="25"/>
      <c r="L151" s="25"/>
      <c r="M151" s="25"/>
      <c r="N151" s="25"/>
      <c r="O151" s="25"/>
      <c r="P151" s="25"/>
      <c r="Q151" s="24"/>
      <c r="R151" s="26"/>
      <c r="S151" s="26"/>
      <c r="T151" s="26"/>
      <c r="U151" s="27"/>
      <c r="V151" s="20" t="str">
        <f>IF(I151 &lt;&gt; "", VLOOKUP(I151, City!$A$1:$B$2, 2, FALSE), "" )</f>
        <v/>
      </c>
      <c r="W151" s="20" t="str">
        <f>IF(J151 &lt;&gt; "", VLOOKUP(J151, District!$A$1:$B$25, 2, FALSE), "")</f>
        <v/>
      </c>
      <c r="X151" s="21" t="str">
        <f>IF(K151 &lt;&gt; "", VLOOKUP(K151, IF(J151="Quận 1", Ward!$A$2:$B$11, IF(J151="Quận 2", Ward!$C$2:$D$12, IF(J151="Quận 3", Ward!$E$2:$F$15, IF(J151="Quận 4", Ward!$G$2:$H$16, IF(J151="Quận 5", Ward!$I$2:$J$16, IF(J151="Quận 6", Ward!$K$2:$L$15, IF(J151="Quận 7", Ward!$M$2:$N$11, IF(J151="Quận 8", Ward!$O$2:$P$17, IF(J151="Quận 9", Ward!$Q$2:$R$14, IF(J151="Quận 10", Ward!$S$2:$T$16, IF(J151="Quận 11", Ward!$U$2:$V$17, IF(J151="Quận 12", Ward!$W$2:$X$12, IF(J151="Huyện Bình Chánh", Ward!$Y$2:$Z$17, IF(J151="Quận Bình Tân", Ward!$AA$2:$AB$11, IF(J151="Quận Bình Thạnh", Ward!$AC$2:$AD$21, IF(J151="Huyện Cần Giờ", Ward!$AE$2:$AF$8, IF(J151="Huyện Củ Chi", Ward!$AG$2:$AH$22, IF(J151="Quận Gò Vấp", Ward!$AI$2:$AJ$17, IF(J151="Huyện Hóc Môn", Ward!$AK$2:$AL$13, IF(J151="Huyện Nhà Bè", Ward!$AM$2:$AN$8, IF(J151="Quận Phú Nhuận", Ward!$AO$2:$AP$16, IF(J151="Quận Tân Bình", Ward!$AQ$2:$AR$16, IF(J151="Quận Tân Phú", Ward!$AS$2:$AT$12, IF(J151="Quận Thủ Đức", Ward!$AU$2:$AV$13)))))))))))))))))))))))), 2, FALSE), "")</f>
        <v/>
      </c>
      <c r="Y151" s="20" t="str">
        <f>IF(B151 &lt;&gt; "", VLOOKUP(B151, HospitalType!$A$2:$B$9, 2, FALSE), "")</f>
        <v/>
      </c>
    </row>
    <row r="152" spans="1:25" x14ac:dyDescent="0.25">
      <c r="A152" s="34"/>
      <c r="B152" s="24"/>
      <c r="C152" s="24"/>
      <c r="D152" s="24"/>
      <c r="E152" s="24"/>
      <c r="F152" s="24"/>
      <c r="G152" s="25"/>
      <c r="H152" s="25"/>
      <c r="I152" s="25"/>
      <c r="J152" s="25"/>
      <c r="K152" s="25"/>
      <c r="L152" s="25"/>
      <c r="M152" s="25"/>
      <c r="N152" s="25"/>
      <c r="O152" s="25"/>
      <c r="P152" s="25"/>
      <c r="Q152" s="24"/>
      <c r="R152" s="26"/>
      <c r="S152" s="26"/>
      <c r="T152" s="26"/>
      <c r="U152" s="27"/>
      <c r="V152" s="20" t="str">
        <f>IF(I152 &lt;&gt; "", VLOOKUP(I152, City!$A$1:$B$2, 2, FALSE), "" )</f>
        <v/>
      </c>
      <c r="W152" s="20" t="str">
        <f>IF(J152 &lt;&gt; "", VLOOKUP(J152, District!$A$1:$B$25, 2, FALSE), "")</f>
        <v/>
      </c>
      <c r="X152" s="21" t="str">
        <f>IF(K152 &lt;&gt; "", VLOOKUP(K152, IF(J152="Quận 1", Ward!$A$2:$B$11, IF(J152="Quận 2", Ward!$C$2:$D$12, IF(J152="Quận 3", Ward!$E$2:$F$15, IF(J152="Quận 4", Ward!$G$2:$H$16, IF(J152="Quận 5", Ward!$I$2:$J$16, IF(J152="Quận 6", Ward!$K$2:$L$15, IF(J152="Quận 7", Ward!$M$2:$N$11, IF(J152="Quận 8", Ward!$O$2:$P$17, IF(J152="Quận 9", Ward!$Q$2:$R$14, IF(J152="Quận 10", Ward!$S$2:$T$16, IF(J152="Quận 11", Ward!$U$2:$V$17, IF(J152="Quận 12", Ward!$W$2:$X$12, IF(J152="Huyện Bình Chánh", Ward!$Y$2:$Z$17, IF(J152="Quận Bình Tân", Ward!$AA$2:$AB$11, IF(J152="Quận Bình Thạnh", Ward!$AC$2:$AD$21, IF(J152="Huyện Cần Giờ", Ward!$AE$2:$AF$8, IF(J152="Huyện Củ Chi", Ward!$AG$2:$AH$22, IF(J152="Quận Gò Vấp", Ward!$AI$2:$AJ$17, IF(J152="Huyện Hóc Môn", Ward!$AK$2:$AL$13, IF(J152="Huyện Nhà Bè", Ward!$AM$2:$AN$8, IF(J152="Quận Phú Nhuận", Ward!$AO$2:$AP$16, IF(J152="Quận Tân Bình", Ward!$AQ$2:$AR$16, IF(J152="Quận Tân Phú", Ward!$AS$2:$AT$12, IF(J152="Quận Thủ Đức", Ward!$AU$2:$AV$13)))))))))))))))))))))))), 2, FALSE), "")</f>
        <v/>
      </c>
      <c r="Y152" s="20" t="str">
        <f>IF(B152 &lt;&gt; "", VLOOKUP(B152, HospitalType!$A$2:$B$9, 2, FALSE), "")</f>
        <v/>
      </c>
    </row>
    <row r="153" spans="1:25" x14ac:dyDescent="0.25">
      <c r="A153" s="34"/>
      <c r="B153" s="24"/>
      <c r="C153" s="24"/>
      <c r="D153" s="24"/>
      <c r="E153" s="24"/>
      <c r="F153" s="24"/>
      <c r="G153" s="25"/>
      <c r="H153" s="25"/>
      <c r="I153" s="25"/>
      <c r="J153" s="25"/>
      <c r="K153" s="25"/>
      <c r="L153" s="25"/>
      <c r="M153" s="25"/>
      <c r="N153" s="25"/>
      <c r="O153" s="25"/>
      <c r="P153" s="25"/>
      <c r="Q153" s="24"/>
      <c r="R153" s="26"/>
      <c r="S153" s="26"/>
      <c r="T153" s="26"/>
      <c r="U153" s="27"/>
      <c r="V153" s="20" t="str">
        <f>IF(I153 &lt;&gt; "", VLOOKUP(I153, City!$A$1:$B$2, 2, FALSE), "" )</f>
        <v/>
      </c>
      <c r="W153" s="20" t="str">
        <f>IF(J153 &lt;&gt; "", VLOOKUP(J153, District!$A$1:$B$25, 2, FALSE), "")</f>
        <v/>
      </c>
      <c r="X153" s="21" t="str">
        <f>IF(K153 &lt;&gt; "", VLOOKUP(K153, IF(J153="Quận 1", Ward!$A$2:$B$11, IF(J153="Quận 2", Ward!$C$2:$D$12, IF(J153="Quận 3", Ward!$E$2:$F$15, IF(J153="Quận 4", Ward!$G$2:$H$16, IF(J153="Quận 5", Ward!$I$2:$J$16, IF(J153="Quận 6", Ward!$K$2:$L$15, IF(J153="Quận 7", Ward!$M$2:$N$11, IF(J153="Quận 8", Ward!$O$2:$P$17, IF(J153="Quận 9", Ward!$Q$2:$R$14, IF(J153="Quận 10", Ward!$S$2:$T$16, IF(J153="Quận 11", Ward!$U$2:$V$17, IF(J153="Quận 12", Ward!$W$2:$X$12, IF(J153="Huyện Bình Chánh", Ward!$Y$2:$Z$17, IF(J153="Quận Bình Tân", Ward!$AA$2:$AB$11, IF(J153="Quận Bình Thạnh", Ward!$AC$2:$AD$21, IF(J153="Huyện Cần Giờ", Ward!$AE$2:$AF$8, IF(J153="Huyện Củ Chi", Ward!$AG$2:$AH$22, IF(J153="Quận Gò Vấp", Ward!$AI$2:$AJ$17, IF(J153="Huyện Hóc Môn", Ward!$AK$2:$AL$13, IF(J153="Huyện Nhà Bè", Ward!$AM$2:$AN$8, IF(J153="Quận Phú Nhuận", Ward!$AO$2:$AP$16, IF(J153="Quận Tân Bình", Ward!$AQ$2:$AR$16, IF(J153="Quận Tân Phú", Ward!$AS$2:$AT$12, IF(J153="Quận Thủ Đức", Ward!$AU$2:$AV$13)))))))))))))))))))))))), 2, FALSE), "")</f>
        <v/>
      </c>
      <c r="Y153" s="20" t="str">
        <f>IF(B153 &lt;&gt; "", VLOOKUP(B153, HospitalType!$A$2:$B$9, 2, FALSE), "")</f>
        <v/>
      </c>
    </row>
    <row r="154" spans="1:25" x14ac:dyDescent="0.25">
      <c r="A154" s="34"/>
      <c r="B154" s="24"/>
      <c r="C154" s="24"/>
      <c r="D154" s="24"/>
      <c r="E154" s="24"/>
      <c r="F154" s="24"/>
      <c r="G154" s="25"/>
      <c r="H154" s="25"/>
      <c r="I154" s="25"/>
      <c r="J154" s="25"/>
      <c r="K154" s="25"/>
      <c r="L154" s="25"/>
      <c r="M154" s="25"/>
      <c r="N154" s="25"/>
      <c r="O154" s="25"/>
      <c r="P154" s="25"/>
      <c r="Q154" s="24"/>
      <c r="R154" s="26"/>
      <c r="S154" s="26"/>
      <c r="T154" s="26"/>
      <c r="U154" s="27"/>
      <c r="V154" s="20" t="str">
        <f>IF(I154 &lt;&gt; "", VLOOKUP(I154, City!$A$1:$B$2, 2, FALSE), "" )</f>
        <v/>
      </c>
      <c r="W154" s="20" t="str">
        <f>IF(J154 &lt;&gt; "", VLOOKUP(J154, District!$A$1:$B$25, 2, FALSE), "")</f>
        <v/>
      </c>
      <c r="X154" s="21" t="str">
        <f>IF(K154 &lt;&gt; "", VLOOKUP(K154, IF(J154="Quận 1", Ward!$A$2:$B$11, IF(J154="Quận 2", Ward!$C$2:$D$12, IF(J154="Quận 3", Ward!$E$2:$F$15, IF(J154="Quận 4", Ward!$G$2:$H$16, IF(J154="Quận 5", Ward!$I$2:$J$16, IF(J154="Quận 6", Ward!$K$2:$L$15, IF(J154="Quận 7", Ward!$M$2:$N$11, IF(J154="Quận 8", Ward!$O$2:$P$17, IF(J154="Quận 9", Ward!$Q$2:$R$14, IF(J154="Quận 10", Ward!$S$2:$T$16, IF(J154="Quận 11", Ward!$U$2:$V$17, IF(J154="Quận 12", Ward!$W$2:$X$12, IF(J154="Huyện Bình Chánh", Ward!$Y$2:$Z$17, IF(J154="Quận Bình Tân", Ward!$AA$2:$AB$11, IF(J154="Quận Bình Thạnh", Ward!$AC$2:$AD$21, IF(J154="Huyện Cần Giờ", Ward!$AE$2:$AF$8, IF(J154="Huyện Củ Chi", Ward!$AG$2:$AH$22, IF(J154="Quận Gò Vấp", Ward!$AI$2:$AJ$17, IF(J154="Huyện Hóc Môn", Ward!$AK$2:$AL$13, IF(J154="Huyện Nhà Bè", Ward!$AM$2:$AN$8, IF(J154="Quận Phú Nhuận", Ward!$AO$2:$AP$16, IF(J154="Quận Tân Bình", Ward!$AQ$2:$AR$16, IF(J154="Quận Tân Phú", Ward!$AS$2:$AT$12, IF(J154="Quận Thủ Đức", Ward!$AU$2:$AV$13)))))))))))))))))))))))), 2, FALSE), "")</f>
        <v/>
      </c>
      <c r="Y154" s="20" t="str">
        <f>IF(B154 &lt;&gt; "", VLOOKUP(B154, HospitalType!$A$2:$B$9, 2, FALSE), "")</f>
        <v/>
      </c>
    </row>
    <row r="155" spans="1:25" x14ac:dyDescent="0.25">
      <c r="A155" s="34"/>
      <c r="B155" s="24"/>
      <c r="C155" s="24"/>
      <c r="D155" s="24"/>
      <c r="E155" s="24"/>
      <c r="F155" s="24"/>
      <c r="G155" s="25"/>
      <c r="H155" s="25"/>
      <c r="I155" s="25"/>
      <c r="J155" s="25"/>
      <c r="K155" s="25"/>
      <c r="L155" s="25"/>
      <c r="M155" s="25"/>
      <c r="N155" s="25"/>
      <c r="O155" s="25"/>
      <c r="P155" s="25"/>
      <c r="Q155" s="24"/>
      <c r="R155" s="26"/>
      <c r="S155" s="26"/>
      <c r="T155" s="26"/>
      <c r="U155" s="27"/>
      <c r="V155" s="20" t="str">
        <f>IF(I155 &lt;&gt; "", VLOOKUP(I155, City!$A$1:$B$2, 2, FALSE), "" )</f>
        <v/>
      </c>
      <c r="W155" s="20" t="str">
        <f>IF(J155 &lt;&gt; "", VLOOKUP(J155, District!$A$1:$B$25, 2, FALSE), "")</f>
        <v/>
      </c>
      <c r="X155" s="21" t="str">
        <f>IF(K155 &lt;&gt; "", VLOOKUP(K155, IF(J155="Quận 1", Ward!$A$2:$B$11, IF(J155="Quận 2", Ward!$C$2:$D$12, IF(J155="Quận 3", Ward!$E$2:$F$15, IF(J155="Quận 4", Ward!$G$2:$H$16, IF(J155="Quận 5", Ward!$I$2:$J$16, IF(J155="Quận 6", Ward!$K$2:$L$15, IF(J155="Quận 7", Ward!$M$2:$N$11, IF(J155="Quận 8", Ward!$O$2:$P$17, IF(J155="Quận 9", Ward!$Q$2:$R$14, IF(J155="Quận 10", Ward!$S$2:$T$16, IF(J155="Quận 11", Ward!$U$2:$V$17, IF(J155="Quận 12", Ward!$W$2:$X$12, IF(J155="Huyện Bình Chánh", Ward!$Y$2:$Z$17, IF(J155="Quận Bình Tân", Ward!$AA$2:$AB$11, IF(J155="Quận Bình Thạnh", Ward!$AC$2:$AD$21, IF(J155="Huyện Cần Giờ", Ward!$AE$2:$AF$8, IF(J155="Huyện Củ Chi", Ward!$AG$2:$AH$22, IF(J155="Quận Gò Vấp", Ward!$AI$2:$AJ$17, IF(J155="Huyện Hóc Môn", Ward!$AK$2:$AL$13, IF(J155="Huyện Nhà Bè", Ward!$AM$2:$AN$8, IF(J155="Quận Phú Nhuận", Ward!$AO$2:$AP$16, IF(J155="Quận Tân Bình", Ward!$AQ$2:$AR$16, IF(J155="Quận Tân Phú", Ward!$AS$2:$AT$12, IF(J155="Quận Thủ Đức", Ward!$AU$2:$AV$13)))))))))))))))))))))))), 2, FALSE), "")</f>
        <v/>
      </c>
      <c r="Y155" s="20" t="str">
        <f>IF(B155 &lt;&gt; "", VLOOKUP(B155, HospitalType!$A$2:$B$9, 2, FALSE), "")</f>
        <v/>
      </c>
    </row>
    <row r="156" spans="1:25" x14ac:dyDescent="0.25">
      <c r="A156" s="34"/>
      <c r="B156" s="24"/>
      <c r="C156" s="24"/>
      <c r="D156" s="24"/>
      <c r="E156" s="24"/>
      <c r="F156" s="24"/>
      <c r="G156" s="25"/>
      <c r="H156" s="25"/>
      <c r="I156" s="25"/>
      <c r="J156" s="25"/>
      <c r="K156" s="25"/>
      <c r="L156" s="25"/>
      <c r="M156" s="25"/>
      <c r="N156" s="25"/>
      <c r="O156" s="25"/>
      <c r="P156" s="25"/>
      <c r="Q156" s="24"/>
      <c r="R156" s="26"/>
      <c r="S156" s="26"/>
      <c r="T156" s="26"/>
      <c r="U156" s="27"/>
      <c r="V156" s="20" t="str">
        <f>IF(I156 &lt;&gt; "", VLOOKUP(I156, City!$A$1:$B$2, 2, FALSE), "" )</f>
        <v/>
      </c>
      <c r="W156" s="20" t="str">
        <f>IF(J156 &lt;&gt; "", VLOOKUP(J156, District!$A$1:$B$25, 2, FALSE), "")</f>
        <v/>
      </c>
      <c r="X156" s="21" t="str">
        <f>IF(K156 &lt;&gt; "", VLOOKUP(K156, IF(J156="Quận 1", Ward!$A$2:$B$11, IF(J156="Quận 2", Ward!$C$2:$D$12, IF(J156="Quận 3", Ward!$E$2:$F$15, IF(J156="Quận 4", Ward!$G$2:$H$16, IF(J156="Quận 5", Ward!$I$2:$J$16, IF(J156="Quận 6", Ward!$K$2:$L$15, IF(J156="Quận 7", Ward!$M$2:$N$11, IF(J156="Quận 8", Ward!$O$2:$P$17, IF(J156="Quận 9", Ward!$Q$2:$R$14, IF(J156="Quận 10", Ward!$S$2:$T$16, IF(J156="Quận 11", Ward!$U$2:$V$17, IF(J156="Quận 12", Ward!$W$2:$X$12, IF(J156="Huyện Bình Chánh", Ward!$Y$2:$Z$17, IF(J156="Quận Bình Tân", Ward!$AA$2:$AB$11, IF(J156="Quận Bình Thạnh", Ward!$AC$2:$AD$21, IF(J156="Huyện Cần Giờ", Ward!$AE$2:$AF$8, IF(J156="Huyện Củ Chi", Ward!$AG$2:$AH$22, IF(J156="Quận Gò Vấp", Ward!$AI$2:$AJ$17, IF(J156="Huyện Hóc Môn", Ward!$AK$2:$AL$13, IF(J156="Huyện Nhà Bè", Ward!$AM$2:$AN$8, IF(J156="Quận Phú Nhuận", Ward!$AO$2:$AP$16, IF(J156="Quận Tân Bình", Ward!$AQ$2:$AR$16, IF(J156="Quận Tân Phú", Ward!$AS$2:$AT$12, IF(J156="Quận Thủ Đức", Ward!$AU$2:$AV$13)))))))))))))))))))))))), 2, FALSE), "")</f>
        <v/>
      </c>
      <c r="Y156" s="20" t="str">
        <f>IF(B156 &lt;&gt; "", VLOOKUP(B156, HospitalType!$A$2:$B$9, 2, FALSE), "")</f>
        <v/>
      </c>
    </row>
    <row r="157" spans="1:25" x14ac:dyDescent="0.25">
      <c r="A157" s="34"/>
      <c r="B157" s="24"/>
      <c r="C157" s="24"/>
      <c r="D157" s="24"/>
      <c r="E157" s="24"/>
      <c r="F157" s="24"/>
      <c r="G157" s="25"/>
      <c r="H157" s="25"/>
      <c r="I157" s="25"/>
      <c r="J157" s="25"/>
      <c r="K157" s="25"/>
      <c r="L157" s="25"/>
      <c r="M157" s="25"/>
      <c r="N157" s="25"/>
      <c r="O157" s="25"/>
      <c r="P157" s="25"/>
      <c r="Q157" s="24"/>
      <c r="R157" s="26"/>
      <c r="S157" s="26"/>
      <c r="T157" s="26"/>
      <c r="U157" s="27"/>
      <c r="V157" s="20" t="str">
        <f>IF(I157 &lt;&gt; "", VLOOKUP(I157, City!$A$1:$B$2, 2, FALSE), "" )</f>
        <v/>
      </c>
      <c r="W157" s="20" t="str">
        <f>IF(J157 &lt;&gt; "", VLOOKUP(J157, District!$A$1:$B$25, 2, FALSE), "")</f>
        <v/>
      </c>
      <c r="X157" s="21" t="str">
        <f>IF(K157 &lt;&gt; "", VLOOKUP(K157, IF(J157="Quận 1", Ward!$A$2:$B$11, IF(J157="Quận 2", Ward!$C$2:$D$12, IF(J157="Quận 3", Ward!$E$2:$F$15, IF(J157="Quận 4", Ward!$G$2:$H$16, IF(J157="Quận 5", Ward!$I$2:$J$16, IF(J157="Quận 6", Ward!$K$2:$L$15, IF(J157="Quận 7", Ward!$M$2:$N$11, IF(J157="Quận 8", Ward!$O$2:$P$17, IF(J157="Quận 9", Ward!$Q$2:$R$14, IF(J157="Quận 10", Ward!$S$2:$T$16, IF(J157="Quận 11", Ward!$U$2:$V$17, IF(J157="Quận 12", Ward!$W$2:$X$12, IF(J157="Huyện Bình Chánh", Ward!$Y$2:$Z$17, IF(J157="Quận Bình Tân", Ward!$AA$2:$AB$11, IF(J157="Quận Bình Thạnh", Ward!$AC$2:$AD$21, IF(J157="Huyện Cần Giờ", Ward!$AE$2:$AF$8, IF(J157="Huyện Củ Chi", Ward!$AG$2:$AH$22, IF(J157="Quận Gò Vấp", Ward!$AI$2:$AJ$17, IF(J157="Huyện Hóc Môn", Ward!$AK$2:$AL$13, IF(J157="Huyện Nhà Bè", Ward!$AM$2:$AN$8, IF(J157="Quận Phú Nhuận", Ward!$AO$2:$AP$16, IF(J157="Quận Tân Bình", Ward!$AQ$2:$AR$16, IF(J157="Quận Tân Phú", Ward!$AS$2:$AT$12, IF(J157="Quận Thủ Đức", Ward!$AU$2:$AV$13)))))))))))))))))))))))), 2, FALSE), "")</f>
        <v/>
      </c>
      <c r="Y157" s="20" t="str">
        <f>IF(B157 &lt;&gt; "", VLOOKUP(B157, HospitalType!$A$2:$B$9, 2, FALSE), "")</f>
        <v/>
      </c>
    </row>
    <row r="158" spans="1:25" x14ac:dyDescent="0.25">
      <c r="A158" s="34"/>
      <c r="B158" s="24"/>
      <c r="C158" s="24"/>
      <c r="D158" s="24"/>
      <c r="E158" s="24"/>
      <c r="F158" s="24"/>
      <c r="G158" s="25"/>
      <c r="H158" s="25"/>
      <c r="I158" s="25"/>
      <c r="J158" s="25"/>
      <c r="K158" s="25"/>
      <c r="L158" s="25"/>
      <c r="M158" s="25"/>
      <c r="N158" s="25"/>
      <c r="O158" s="25"/>
      <c r="P158" s="25"/>
      <c r="Q158" s="24"/>
      <c r="R158" s="26"/>
      <c r="S158" s="26"/>
      <c r="T158" s="26"/>
      <c r="U158" s="27"/>
      <c r="V158" s="20" t="str">
        <f>IF(I158 &lt;&gt; "", VLOOKUP(I158, City!$A$1:$B$2, 2, FALSE), "" )</f>
        <v/>
      </c>
      <c r="W158" s="20" t="str">
        <f>IF(J158 &lt;&gt; "", VLOOKUP(J158, District!$A$1:$B$25, 2, FALSE), "")</f>
        <v/>
      </c>
      <c r="X158" s="21" t="str">
        <f>IF(K158 &lt;&gt; "", VLOOKUP(K158, IF(J158="Quận 1", Ward!$A$2:$B$11, IF(J158="Quận 2", Ward!$C$2:$D$12, IF(J158="Quận 3", Ward!$E$2:$F$15, IF(J158="Quận 4", Ward!$G$2:$H$16, IF(J158="Quận 5", Ward!$I$2:$J$16, IF(J158="Quận 6", Ward!$K$2:$L$15, IF(J158="Quận 7", Ward!$M$2:$N$11, IF(J158="Quận 8", Ward!$O$2:$P$17, IF(J158="Quận 9", Ward!$Q$2:$R$14, IF(J158="Quận 10", Ward!$S$2:$T$16, IF(J158="Quận 11", Ward!$U$2:$V$17, IF(J158="Quận 12", Ward!$W$2:$X$12, IF(J158="Huyện Bình Chánh", Ward!$Y$2:$Z$17, IF(J158="Quận Bình Tân", Ward!$AA$2:$AB$11, IF(J158="Quận Bình Thạnh", Ward!$AC$2:$AD$21, IF(J158="Huyện Cần Giờ", Ward!$AE$2:$AF$8, IF(J158="Huyện Củ Chi", Ward!$AG$2:$AH$22, IF(J158="Quận Gò Vấp", Ward!$AI$2:$AJ$17, IF(J158="Huyện Hóc Môn", Ward!$AK$2:$AL$13, IF(J158="Huyện Nhà Bè", Ward!$AM$2:$AN$8, IF(J158="Quận Phú Nhuận", Ward!$AO$2:$AP$16, IF(J158="Quận Tân Bình", Ward!$AQ$2:$AR$16, IF(J158="Quận Tân Phú", Ward!$AS$2:$AT$12, IF(J158="Quận Thủ Đức", Ward!$AU$2:$AV$13)))))))))))))))))))))))), 2, FALSE), "")</f>
        <v/>
      </c>
      <c r="Y158" s="20" t="str">
        <f>IF(B158 &lt;&gt; "", VLOOKUP(B158, HospitalType!$A$2:$B$9, 2, FALSE), "")</f>
        <v/>
      </c>
    </row>
    <row r="159" spans="1:25" x14ac:dyDescent="0.25">
      <c r="A159" s="34"/>
      <c r="B159" s="24"/>
      <c r="C159" s="24"/>
      <c r="D159" s="24"/>
      <c r="E159" s="24"/>
      <c r="F159" s="24"/>
      <c r="G159" s="25"/>
      <c r="H159" s="25"/>
      <c r="I159" s="25"/>
      <c r="J159" s="25"/>
      <c r="K159" s="25"/>
      <c r="L159" s="25"/>
      <c r="M159" s="25"/>
      <c r="N159" s="25"/>
      <c r="O159" s="25"/>
      <c r="P159" s="25"/>
      <c r="Q159" s="24"/>
      <c r="R159" s="26"/>
      <c r="S159" s="26"/>
      <c r="T159" s="26"/>
      <c r="U159" s="27"/>
      <c r="V159" s="20" t="str">
        <f>IF(I159 &lt;&gt; "", VLOOKUP(I159, City!$A$1:$B$2, 2, FALSE), "" )</f>
        <v/>
      </c>
      <c r="W159" s="20" t="str">
        <f>IF(J159 &lt;&gt; "", VLOOKUP(J159, District!$A$1:$B$25, 2, FALSE), "")</f>
        <v/>
      </c>
      <c r="X159" s="21" t="str">
        <f>IF(K159 &lt;&gt; "", VLOOKUP(K159, IF(J159="Quận 1", Ward!$A$2:$B$11, IF(J159="Quận 2", Ward!$C$2:$D$12, IF(J159="Quận 3", Ward!$E$2:$F$15, IF(J159="Quận 4", Ward!$G$2:$H$16, IF(J159="Quận 5", Ward!$I$2:$J$16, IF(J159="Quận 6", Ward!$K$2:$L$15, IF(J159="Quận 7", Ward!$M$2:$N$11, IF(J159="Quận 8", Ward!$O$2:$P$17, IF(J159="Quận 9", Ward!$Q$2:$R$14, IF(J159="Quận 10", Ward!$S$2:$T$16, IF(J159="Quận 11", Ward!$U$2:$V$17, IF(J159="Quận 12", Ward!$W$2:$X$12, IF(J159="Huyện Bình Chánh", Ward!$Y$2:$Z$17, IF(J159="Quận Bình Tân", Ward!$AA$2:$AB$11, IF(J159="Quận Bình Thạnh", Ward!$AC$2:$AD$21, IF(J159="Huyện Cần Giờ", Ward!$AE$2:$AF$8, IF(J159="Huyện Củ Chi", Ward!$AG$2:$AH$22, IF(J159="Quận Gò Vấp", Ward!$AI$2:$AJ$17, IF(J159="Huyện Hóc Môn", Ward!$AK$2:$AL$13, IF(J159="Huyện Nhà Bè", Ward!$AM$2:$AN$8, IF(J159="Quận Phú Nhuận", Ward!$AO$2:$AP$16, IF(J159="Quận Tân Bình", Ward!$AQ$2:$AR$16, IF(J159="Quận Tân Phú", Ward!$AS$2:$AT$12, IF(J159="Quận Thủ Đức", Ward!$AU$2:$AV$13)))))))))))))))))))))))), 2, FALSE), "")</f>
        <v/>
      </c>
      <c r="Y159" s="20" t="str">
        <f>IF(B159 &lt;&gt; "", VLOOKUP(B159, HospitalType!$A$2:$B$9, 2, FALSE), "")</f>
        <v/>
      </c>
    </row>
    <row r="160" spans="1:25" x14ac:dyDescent="0.25">
      <c r="A160" s="34"/>
      <c r="B160" s="24"/>
      <c r="C160" s="24"/>
      <c r="D160" s="24"/>
      <c r="E160" s="24"/>
      <c r="F160" s="24"/>
      <c r="G160" s="25"/>
      <c r="H160" s="25"/>
      <c r="I160" s="25"/>
      <c r="J160" s="25"/>
      <c r="K160" s="25"/>
      <c r="L160" s="25"/>
      <c r="M160" s="25"/>
      <c r="N160" s="25"/>
      <c r="O160" s="25"/>
      <c r="P160" s="25"/>
      <c r="Q160" s="24"/>
      <c r="R160" s="26"/>
      <c r="S160" s="26"/>
      <c r="T160" s="26"/>
      <c r="U160" s="27"/>
      <c r="V160" s="20" t="str">
        <f>IF(I160 &lt;&gt; "", VLOOKUP(I160, City!$A$1:$B$2, 2, FALSE), "" )</f>
        <v/>
      </c>
      <c r="W160" s="20" t="str">
        <f>IF(J160 &lt;&gt; "", VLOOKUP(J160, District!$A$1:$B$25, 2, FALSE), "")</f>
        <v/>
      </c>
      <c r="X160" s="21" t="str">
        <f>IF(K160 &lt;&gt; "", VLOOKUP(K160, IF(J160="Quận 1", Ward!$A$2:$B$11, IF(J160="Quận 2", Ward!$C$2:$D$12, IF(J160="Quận 3", Ward!$E$2:$F$15, IF(J160="Quận 4", Ward!$G$2:$H$16, IF(J160="Quận 5", Ward!$I$2:$J$16, IF(J160="Quận 6", Ward!$K$2:$L$15, IF(J160="Quận 7", Ward!$M$2:$N$11, IF(J160="Quận 8", Ward!$O$2:$P$17, IF(J160="Quận 9", Ward!$Q$2:$R$14, IF(J160="Quận 10", Ward!$S$2:$T$16, IF(J160="Quận 11", Ward!$U$2:$V$17, IF(J160="Quận 12", Ward!$W$2:$X$12, IF(J160="Huyện Bình Chánh", Ward!$Y$2:$Z$17, IF(J160="Quận Bình Tân", Ward!$AA$2:$AB$11, IF(J160="Quận Bình Thạnh", Ward!$AC$2:$AD$21, IF(J160="Huyện Cần Giờ", Ward!$AE$2:$AF$8, IF(J160="Huyện Củ Chi", Ward!$AG$2:$AH$22, IF(J160="Quận Gò Vấp", Ward!$AI$2:$AJ$17, IF(J160="Huyện Hóc Môn", Ward!$AK$2:$AL$13, IF(J160="Huyện Nhà Bè", Ward!$AM$2:$AN$8, IF(J160="Quận Phú Nhuận", Ward!$AO$2:$AP$16, IF(J160="Quận Tân Bình", Ward!$AQ$2:$AR$16, IF(J160="Quận Tân Phú", Ward!$AS$2:$AT$12, IF(J160="Quận Thủ Đức", Ward!$AU$2:$AV$13)))))))))))))))))))))))), 2, FALSE), "")</f>
        <v/>
      </c>
      <c r="Y160" s="20" t="str">
        <f>IF(B160 &lt;&gt; "", VLOOKUP(B160, HospitalType!$A$2:$B$9, 2, FALSE), "")</f>
        <v/>
      </c>
    </row>
    <row r="161" spans="1:25" x14ac:dyDescent="0.25">
      <c r="A161" s="34"/>
      <c r="B161" s="24"/>
      <c r="C161" s="24"/>
      <c r="D161" s="24"/>
      <c r="E161" s="24"/>
      <c r="F161" s="24"/>
      <c r="G161" s="25"/>
      <c r="H161" s="25"/>
      <c r="I161" s="25"/>
      <c r="J161" s="25"/>
      <c r="K161" s="25"/>
      <c r="L161" s="25"/>
      <c r="M161" s="25"/>
      <c r="N161" s="25"/>
      <c r="O161" s="25"/>
      <c r="P161" s="25"/>
      <c r="Q161" s="24"/>
      <c r="R161" s="26"/>
      <c r="S161" s="26"/>
      <c r="T161" s="26"/>
      <c r="U161" s="27"/>
      <c r="V161" s="20" t="str">
        <f>IF(I161 &lt;&gt; "", VLOOKUP(I161, City!$A$1:$B$2, 2, FALSE), "" )</f>
        <v/>
      </c>
      <c r="W161" s="20" t="str">
        <f>IF(J161 &lt;&gt; "", VLOOKUP(J161, District!$A$1:$B$25, 2, FALSE), "")</f>
        <v/>
      </c>
      <c r="X161" s="21" t="str">
        <f>IF(K161 &lt;&gt; "", VLOOKUP(K161, IF(J161="Quận 1", Ward!$A$2:$B$11, IF(J161="Quận 2", Ward!$C$2:$D$12, IF(J161="Quận 3", Ward!$E$2:$F$15, IF(J161="Quận 4", Ward!$G$2:$H$16, IF(J161="Quận 5", Ward!$I$2:$J$16, IF(J161="Quận 6", Ward!$K$2:$L$15, IF(J161="Quận 7", Ward!$M$2:$N$11, IF(J161="Quận 8", Ward!$O$2:$P$17, IF(J161="Quận 9", Ward!$Q$2:$R$14, IF(J161="Quận 10", Ward!$S$2:$T$16, IF(J161="Quận 11", Ward!$U$2:$V$17, IF(J161="Quận 12", Ward!$W$2:$X$12, IF(J161="Huyện Bình Chánh", Ward!$Y$2:$Z$17, IF(J161="Quận Bình Tân", Ward!$AA$2:$AB$11, IF(J161="Quận Bình Thạnh", Ward!$AC$2:$AD$21, IF(J161="Huyện Cần Giờ", Ward!$AE$2:$AF$8, IF(J161="Huyện Củ Chi", Ward!$AG$2:$AH$22, IF(J161="Quận Gò Vấp", Ward!$AI$2:$AJ$17, IF(J161="Huyện Hóc Môn", Ward!$AK$2:$AL$13, IF(J161="Huyện Nhà Bè", Ward!$AM$2:$AN$8, IF(J161="Quận Phú Nhuận", Ward!$AO$2:$AP$16, IF(J161="Quận Tân Bình", Ward!$AQ$2:$AR$16, IF(J161="Quận Tân Phú", Ward!$AS$2:$AT$12, IF(J161="Quận Thủ Đức", Ward!$AU$2:$AV$13)))))))))))))))))))))))), 2, FALSE), "")</f>
        <v/>
      </c>
      <c r="Y161" s="20" t="str">
        <f>IF(B161 &lt;&gt; "", VLOOKUP(B161, HospitalType!$A$2:$B$9, 2, FALSE), "")</f>
        <v/>
      </c>
    </row>
    <row r="162" spans="1:25" x14ac:dyDescent="0.25">
      <c r="A162" s="34"/>
      <c r="B162" s="24"/>
      <c r="C162" s="24"/>
      <c r="D162" s="24"/>
      <c r="E162" s="24"/>
      <c r="F162" s="24"/>
      <c r="G162" s="25"/>
      <c r="H162" s="25"/>
      <c r="I162" s="25"/>
      <c r="J162" s="25"/>
      <c r="K162" s="25"/>
      <c r="L162" s="25"/>
      <c r="M162" s="25"/>
      <c r="N162" s="25"/>
      <c r="O162" s="25"/>
      <c r="P162" s="25"/>
      <c r="Q162" s="24"/>
      <c r="R162" s="26"/>
      <c r="S162" s="26"/>
      <c r="T162" s="26"/>
      <c r="U162" s="27"/>
      <c r="V162" s="20" t="str">
        <f>IF(I162 &lt;&gt; "", VLOOKUP(I162, City!$A$1:$B$2, 2, FALSE), "" )</f>
        <v/>
      </c>
      <c r="W162" s="20" t="str">
        <f>IF(J162 &lt;&gt; "", VLOOKUP(J162, District!$A$1:$B$25, 2, FALSE), "")</f>
        <v/>
      </c>
      <c r="X162" s="21" t="str">
        <f>IF(K162 &lt;&gt; "", VLOOKUP(K162, IF(J162="Quận 1", Ward!$A$2:$B$11, IF(J162="Quận 2", Ward!$C$2:$D$12, IF(J162="Quận 3", Ward!$E$2:$F$15, IF(J162="Quận 4", Ward!$G$2:$H$16, IF(J162="Quận 5", Ward!$I$2:$J$16, IF(J162="Quận 6", Ward!$K$2:$L$15, IF(J162="Quận 7", Ward!$M$2:$N$11, IF(J162="Quận 8", Ward!$O$2:$P$17, IF(J162="Quận 9", Ward!$Q$2:$R$14, IF(J162="Quận 10", Ward!$S$2:$T$16, IF(J162="Quận 11", Ward!$U$2:$V$17, IF(J162="Quận 12", Ward!$W$2:$X$12, IF(J162="Huyện Bình Chánh", Ward!$Y$2:$Z$17, IF(J162="Quận Bình Tân", Ward!$AA$2:$AB$11, IF(J162="Quận Bình Thạnh", Ward!$AC$2:$AD$21, IF(J162="Huyện Cần Giờ", Ward!$AE$2:$AF$8, IF(J162="Huyện Củ Chi", Ward!$AG$2:$AH$22, IF(J162="Quận Gò Vấp", Ward!$AI$2:$AJ$17, IF(J162="Huyện Hóc Môn", Ward!$AK$2:$AL$13, IF(J162="Huyện Nhà Bè", Ward!$AM$2:$AN$8, IF(J162="Quận Phú Nhuận", Ward!$AO$2:$AP$16, IF(J162="Quận Tân Bình", Ward!$AQ$2:$AR$16, IF(J162="Quận Tân Phú", Ward!$AS$2:$AT$12, IF(J162="Quận Thủ Đức", Ward!$AU$2:$AV$13)))))))))))))))))))))))), 2, FALSE), "")</f>
        <v/>
      </c>
      <c r="Y162" s="20" t="str">
        <f>IF(B162 &lt;&gt; "", VLOOKUP(B162, HospitalType!$A$2:$B$9, 2, FALSE), "")</f>
        <v/>
      </c>
    </row>
    <row r="163" spans="1:25" x14ac:dyDescent="0.25">
      <c r="A163" s="34"/>
      <c r="B163" s="24"/>
      <c r="C163" s="24"/>
      <c r="D163" s="24"/>
      <c r="E163" s="24"/>
      <c r="F163" s="24"/>
      <c r="G163" s="25"/>
      <c r="H163" s="25"/>
      <c r="I163" s="25"/>
      <c r="J163" s="25"/>
      <c r="K163" s="25"/>
      <c r="L163" s="25"/>
      <c r="M163" s="25"/>
      <c r="N163" s="25"/>
      <c r="O163" s="25"/>
      <c r="P163" s="25"/>
      <c r="Q163" s="24"/>
      <c r="R163" s="26"/>
      <c r="S163" s="26"/>
      <c r="T163" s="26"/>
      <c r="U163" s="27"/>
      <c r="V163" s="20" t="str">
        <f>IF(I163 &lt;&gt; "", VLOOKUP(I163, City!$A$1:$B$2, 2, FALSE), "" )</f>
        <v/>
      </c>
      <c r="W163" s="20" t="str">
        <f>IF(J163 &lt;&gt; "", VLOOKUP(J163, District!$A$1:$B$25, 2, FALSE), "")</f>
        <v/>
      </c>
      <c r="X163" s="21" t="str">
        <f>IF(K163 &lt;&gt; "", VLOOKUP(K163, IF(J163="Quận 1", Ward!$A$2:$B$11, IF(J163="Quận 2", Ward!$C$2:$D$12, IF(J163="Quận 3", Ward!$E$2:$F$15, IF(J163="Quận 4", Ward!$G$2:$H$16, IF(J163="Quận 5", Ward!$I$2:$J$16, IF(J163="Quận 6", Ward!$K$2:$L$15, IF(J163="Quận 7", Ward!$M$2:$N$11, IF(J163="Quận 8", Ward!$O$2:$P$17, IF(J163="Quận 9", Ward!$Q$2:$R$14, IF(J163="Quận 10", Ward!$S$2:$T$16, IF(J163="Quận 11", Ward!$U$2:$V$17, IF(J163="Quận 12", Ward!$W$2:$X$12, IF(J163="Huyện Bình Chánh", Ward!$Y$2:$Z$17, IF(J163="Quận Bình Tân", Ward!$AA$2:$AB$11, IF(J163="Quận Bình Thạnh", Ward!$AC$2:$AD$21, IF(J163="Huyện Cần Giờ", Ward!$AE$2:$AF$8, IF(J163="Huyện Củ Chi", Ward!$AG$2:$AH$22, IF(J163="Quận Gò Vấp", Ward!$AI$2:$AJ$17, IF(J163="Huyện Hóc Môn", Ward!$AK$2:$AL$13, IF(J163="Huyện Nhà Bè", Ward!$AM$2:$AN$8, IF(J163="Quận Phú Nhuận", Ward!$AO$2:$AP$16, IF(J163="Quận Tân Bình", Ward!$AQ$2:$AR$16, IF(J163="Quận Tân Phú", Ward!$AS$2:$AT$12, IF(J163="Quận Thủ Đức", Ward!$AU$2:$AV$13)))))))))))))))))))))))), 2, FALSE), "")</f>
        <v/>
      </c>
      <c r="Y163" s="20" t="str">
        <f>IF(B163 &lt;&gt; "", VLOOKUP(B163, HospitalType!$A$2:$B$9, 2, FALSE), "")</f>
        <v/>
      </c>
    </row>
    <row r="164" spans="1:25" x14ac:dyDescent="0.25">
      <c r="A164" s="34"/>
      <c r="B164" s="24"/>
      <c r="C164" s="24"/>
      <c r="D164" s="24"/>
      <c r="E164" s="24"/>
      <c r="F164" s="24"/>
      <c r="G164" s="25"/>
      <c r="H164" s="25"/>
      <c r="I164" s="25"/>
      <c r="J164" s="25"/>
      <c r="K164" s="25"/>
      <c r="L164" s="25"/>
      <c r="M164" s="25"/>
      <c r="N164" s="25"/>
      <c r="O164" s="25"/>
      <c r="P164" s="25"/>
      <c r="Q164" s="24"/>
      <c r="R164" s="26"/>
      <c r="S164" s="26"/>
      <c r="T164" s="26"/>
      <c r="U164" s="27"/>
      <c r="V164" s="20" t="str">
        <f>IF(I164 &lt;&gt; "", VLOOKUP(I164, City!$A$1:$B$2, 2, FALSE), "" )</f>
        <v/>
      </c>
      <c r="W164" s="20" t="str">
        <f>IF(J164 &lt;&gt; "", VLOOKUP(J164, District!$A$1:$B$25, 2, FALSE), "")</f>
        <v/>
      </c>
      <c r="X164" s="21" t="str">
        <f>IF(K164 &lt;&gt; "", VLOOKUP(K164, IF(J164="Quận 1", Ward!$A$2:$B$11, IF(J164="Quận 2", Ward!$C$2:$D$12, IF(J164="Quận 3", Ward!$E$2:$F$15, IF(J164="Quận 4", Ward!$G$2:$H$16, IF(J164="Quận 5", Ward!$I$2:$J$16, IF(J164="Quận 6", Ward!$K$2:$L$15, IF(J164="Quận 7", Ward!$M$2:$N$11, IF(J164="Quận 8", Ward!$O$2:$P$17, IF(J164="Quận 9", Ward!$Q$2:$R$14, IF(J164="Quận 10", Ward!$S$2:$T$16, IF(J164="Quận 11", Ward!$U$2:$V$17, IF(J164="Quận 12", Ward!$W$2:$X$12, IF(J164="Huyện Bình Chánh", Ward!$Y$2:$Z$17, IF(J164="Quận Bình Tân", Ward!$AA$2:$AB$11, IF(J164="Quận Bình Thạnh", Ward!$AC$2:$AD$21, IF(J164="Huyện Cần Giờ", Ward!$AE$2:$AF$8, IF(J164="Huyện Củ Chi", Ward!$AG$2:$AH$22, IF(J164="Quận Gò Vấp", Ward!$AI$2:$AJ$17, IF(J164="Huyện Hóc Môn", Ward!$AK$2:$AL$13, IF(J164="Huyện Nhà Bè", Ward!$AM$2:$AN$8, IF(J164="Quận Phú Nhuận", Ward!$AO$2:$AP$16, IF(J164="Quận Tân Bình", Ward!$AQ$2:$AR$16, IF(J164="Quận Tân Phú", Ward!$AS$2:$AT$12, IF(J164="Quận Thủ Đức", Ward!$AU$2:$AV$13)))))))))))))))))))))))), 2, FALSE), "")</f>
        <v/>
      </c>
      <c r="Y164" s="20" t="str">
        <f>IF(B164 &lt;&gt; "", VLOOKUP(B164, HospitalType!$A$2:$B$9, 2, FALSE), "")</f>
        <v/>
      </c>
    </row>
    <row r="165" spans="1:25" x14ac:dyDescent="0.25">
      <c r="A165" s="34"/>
      <c r="B165" s="24"/>
      <c r="C165" s="24"/>
      <c r="D165" s="24"/>
      <c r="E165" s="24"/>
      <c r="F165" s="24"/>
      <c r="G165" s="25"/>
      <c r="H165" s="25"/>
      <c r="I165" s="25"/>
      <c r="J165" s="25"/>
      <c r="K165" s="25"/>
      <c r="L165" s="25"/>
      <c r="M165" s="25"/>
      <c r="N165" s="25"/>
      <c r="O165" s="25"/>
      <c r="P165" s="25"/>
      <c r="Q165" s="24"/>
      <c r="R165" s="26"/>
      <c r="S165" s="26"/>
      <c r="T165" s="26"/>
      <c r="U165" s="27"/>
      <c r="V165" s="20" t="str">
        <f>IF(I165 &lt;&gt; "", VLOOKUP(I165, City!$A$1:$B$2, 2, FALSE), "" )</f>
        <v/>
      </c>
      <c r="W165" s="20" t="str">
        <f>IF(J165 &lt;&gt; "", VLOOKUP(J165, District!$A$1:$B$25, 2, FALSE), "")</f>
        <v/>
      </c>
      <c r="X165" s="21" t="str">
        <f>IF(K165 &lt;&gt; "", VLOOKUP(K165, IF(J165="Quận 1", Ward!$A$2:$B$11, IF(J165="Quận 2", Ward!$C$2:$D$12, IF(J165="Quận 3", Ward!$E$2:$F$15, IF(J165="Quận 4", Ward!$G$2:$H$16, IF(J165="Quận 5", Ward!$I$2:$J$16, IF(J165="Quận 6", Ward!$K$2:$L$15, IF(J165="Quận 7", Ward!$M$2:$N$11, IF(J165="Quận 8", Ward!$O$2:$P$17, IF(J165="Quận 9", Ward!$Q$2:$R$14, IF(J165="Quận 10", Ward!$S$2:$T$16, IF(J165="Quận 11", Ward!$U$2:$V$17, IF(J165="Quận 12", Ward!$W$2:$X$12, IF(J165="Huyện Bình Chánh", Ward!$Y$2:$Z$17, IF(J165="Quận Bình Tân", Ward!$AA$2:$AB$11, IF(J165="Quận Bình Thạnh", Ward!$AC$2:$AD$21, IF(J165="Huyện Cần Giờ", Ward!$AE$2:$AF$8, IF(J165="Huyện Củ Chi", Ward!$AG$2:$AH$22, IF(J165="Quận Gò Vấp", Ward!$AI$2:$AJ$17, IF(J165="Huyện Hóc Môn", Ward!$AK$2:$AL$13, IF(J165="Huyện Nhà Bè", Ward!$AM$2:$AN$8, IF(J165="Quận Phú Nhuận", Ward!$AO$2:$AP$16, IF(J165="Quận Tân Bình", Ward!$AQ$2:$AR$16, IF(J165="Quận Tân Phú", Ward!$AS$2:$AT$12, IF(J165="Quận Thủ Đức", Ward!$AU$2:$AV$13)))))))))))))))))))))))), 2, FALSE), "")</f>
        <v/>
      </c>
      <c r="Y165" s="20" t="str">
        <f>IF(B165 &lt;&gt; "", VLOOKUP(B165, HospitalType!$A$2:$B$9, 2, FALSE), "")</f>
        <v/>
      </c>
    </row>
    <row r="166" spans="1:25" x14ac:dyDescent="0.25">
      <c r="A166" s="34"/>
      <c r="B166" s="24"/>
      <c r="C166" s="24"/>
      <c r="D166" s="24"/>
      <c r="E166" s="24"/>
      <c r="F166" s="24"/>
      <c r="G166" s="25"/>
      <c r="H166" s="25"/>
      <c r="I166" s="25"/>
      <c r="J166" s="25"/>
      <c r="K166" s="25"/>
      <c r="L166" s="25"/>
      <c r="M166" s="25"/>
      <c r="N166" s="25"/>
      <c r="O166" s="25"/>
      <c r="P166" s="25"/>
      <c r="Q166" s="24"/>
      <c r="R166" s="26"/>
      <c r="S166" s="26"/>
      <c r="T166" s="26"/>
      <c r="U166" s="27"/>
      <c r="V166" s="20" t="str">
        <f>IF(I166 &lt;&gt; "", VLOOKUP(I166, City!$A$1:$B$2, 2, FALSE), "" )</f>
        <v/>
      </c>
      <c r="W166" s="20" t="str">
        <f>IF(J166 &lt;&gt; "", VLOOKUP(J166, District!$A$1:$B$25, 2, FALSE), "")</f>
        <v/>
      </c>
      <c r="X166" s="21" t="str">
        <f>IF(K166 &lt;&gt; "", VLOOKUP(K166, IF(J166="Quận 1", Ward!$A$2:$B$11, IF(J166="Quận 2", Ward!$C$2:$D$12, IF(J166="Quận 3", Ward!$E$2:$F$15, IF(J166="Quận 4", Ward!$G$2:$H$16, IF(J166="Quận 5", Ward!$I$2:$J$16, IF(J166="Quận 6", Ward!$K$2:$L$15, IF(J166="Quận 7", Ward!$M$2:$N$11, IF(J166="Quận 8", Ward!$O$2:$P$17, IF(J166="Quận 9", Ward!$Q$2:$R$14, IF(J166="Quận 10", Ward!$S$2:$T$16, IF(J166="Quận 11", Ward!$U$2:$V$17, IF(J166="Quận 12", Ward!$W$2:$X$12, IF(J166="Huyện Bình Chánh", Ward!$Y$2:$Z$17, IF(J166="Quận Bình Tân", Ward!$AA$2:$AB$11, IF(J166="Quận Bình Thạnh", Ward!$AC$2:$AD$21, IF(J166="Huyện Cần Giờ", Ward!$AE$2:$AF$8, IF(J166="Huyện Củ Chi", Ward!$AG$2:$AH$22, IF(J166="Quận Gò Vấp", Ward!$AI$2:$AJ$17, IF(J166="Huyện Hóc Môn", Ward!$AK$2:$AL$13, IF(J166="Huyện Nhà Bè", Ward!$AM$2:$AN$8, IF(J166="Quận Phú Nhuận", Ward!$AO$2:$AP$16, IF(J166="Quận Tân Bình", Ward!$AQ$2:$AR$16, IF(J166="Quận Tân Phú", Ward!$AS$2:$AT$12, IF(J166="Quận Thủ Đức", Ward!$AU$2:$AV$13)))))))))))))))))))))))), 2, FALSE), "")</f>
        <v/>
      </c>
      <c r="Y166" s="20" t="str">
        <f>IF(B166 &lt;&gt; "", VLOOKUP(B166, HospitalType!$A$2:$B$9, 2, FALSE), "")</f>
        <v/>
      </c>
    </row>
    <row r="167" spans="1:25" x14ac:dyDescent="0.25">
      <c r="A167" s="34"/>
      <c r="B167" s="24"/>
      <c r="C167" s="24"/>
      <c r="D167" s="24"/>
      <c r="E167" s="24"/>
      <c r="F167" s="24"/>
      <c r="G167" s="25"/>
      <c r="H167" s="25"/>
      <c r="I167" s="25"/>
      <c r="J167" s="25"/>
      <c r="K167" s="25"/>
      <c r="L167" s="25"/>
      <c r="M167" s="25"/>
      <c r="N167" s="25"/>
      <c r="O167" s="25"/>
      <c r="P167" s="25"/>
      <c r="Q167" s="24"/>
      <c r="R167" s="26"/>
      <c r="S167" s="26"/>
      <c r="T167" s="26"/>
      <c r="U167" s="27"/>
      <c r="V167" s="20" t="str">
        <f>IF(I167 &lt;&gt; "", VLOOKUP(I167, City!$A$1:$B$2, 2, FALSE), "" )</f>
        <v/>
      </c>
      <c r="W167" s="20" t="str">
        <f>IF(J167 &lt;&gt; "", VLOOKUP(J167, District!$A$1:$B$25, 2, FALSE), "")</f>
        <v/>
      </c>
      <c r="X167" s="21" t="str">
        <f>IF(K167 &lt;&gt; "", VLOOKUP(K167, IF(J167="Quận 1", Ward!$A$2:$B$11, IF(J167="Quận 2", Ward!$C$2:$D$12, IF(J167="Quận 3", Ward!$E$2:$F$15, IF(J167="Quận 4", Ward!$G$2:$H$16, IF(J167="Quận 5", Ward!$I$2:$J$16, IF(J167="Quận 6", Ward!$K$2:$L$15, IF(J167="Quận 7", Ward!$M$2:$N$11, IF(J167="Quận 8", Ward!$O$2:$P$17, IF(J167="Quận 9", Ward!$Q$2:$R$14, IF(J167="Quận 10", Ward!$S$2:$T$16, IF(J167="Quận 11", Ward!$U$2:$V$17, IF(J167="Quận 12", Ward!$W$2:$X$12, IF(J167="Huyện Bình Chánh", Ward!$Y$2:$Z$17, IF(J167="Quận Bình Tân", Ward!$AA$2:$AB$11, IF(J167="Quận Bình Thạnh", Ward!$AC$2:$AD$21, IF(J167="Huyện Cần Giờ", Ward!$AE$2:$AF$8, IF(J167="Huyện Củ Chi", Ward!$AG$2:$AH$22, IF(J167="Quận Gò Vấp", Ward!$AI$2:$AJ$17, IF(J167="Huyện Hóc Môn", Ward!$AK$2:$AL$13, IF(J167="Huyện Nhà Bè", Ward!$AM$2:$AN$8, IF(J167="Quận Phú Nhuận", Ward!$AO$2:$AP$16, IF(J167="Quận Tân Bình", Ward!$AQ$2:$AR$16, IF(J167="Quận Tân Phú", Ward!$AS$2:$AT$12, IF(J167="Quận Thủ Đức", Ward!$AU$2:$AV$13)))))))))))))))))))))))), 2, FALSE), "")</f>
        <v/>
      </c>
      <c r="Y167" s="20" t="str">
        <f>IF(B167 &lt;&gt; "", VLOOKUP(B167, HospitalType!$A$2:$B$9, 2, FALSE), "")</f>
        <v/>
      </c>
    </row>
    <row r="168" spans="1:25" x14ac:dyDescent="0.25">
      <c r="A168" s="34"/>
      <c r="B168" s="24"/>
      <c r="C168" s="24"/>
      <c r="D168" s="24"/>
      <c r="E168" s="24"/>
      <c r="F168" s="24"/>
      <c r="G168" s="25"/>
      <c r="H168" s="25"/>
      <c r="I168" s="25"/>
      <c r="J168" s="25"/>
      <c r="K168" s="25"/>
      <c r="L168" s="25"/>
      <c r="M168" s="25"/>
      <c r="N168" s="25"/>
      <c r="O168" s="25"/>
      <c r="P168" s="25"/>
      <c r="Q168" s="24"/>
      <c r="R168" s="26"/>
      <c r="S168" s="26"/>
      <c r="T168" s="26"/>
      <c r="U168" s="27"/>
      <c r="V168" s="20" t="str">
        <f>IF(I168 &lt;&gt; "", VLOOKUP(I168, City!$A$1:$B$2, 2, FALSE), "" )</f>
        <v/>
      </c>
      <c r="W168" s="20" t="str">
        <f>IF(J168 &lt;&gt; "", VLOOKUP(J168, District!$A$1:$B$25, 2, FALSE), "")</f>
        <v/>
      </c>
      <c r="X168" s="21" t="str">
        <f>IF(K168 &lt;&gt; "", VLOOKUP(K168, IF(J168="Quận 1", Ward!$A$2:$B$11, IF(J168="Quận 2", Ward!$C$2:$D$12, IF(J168="Quận 3", Ward!$E$2:$F$15, IF(J168="Quận 4", Ward!$G$2:$H$16, IF(J168="Quận 5", Ward!$I$2:$J$16, IF(J168="Quận 6", Ward!$K$2:$L$15, IF(J168="Quận 7", Ward!$M$2:$N$11, IF(J168="Quận 8", Ward!$O$2:$P$17, IF(J168="Quận 9", Ward!$Q$2:$R$14, IF(J168="Quận 10", Ward!$S$2:$T$16, IF(J168="Quận 11", Ward!$U$2:$V$17, IF(J168="Quận 12", Ward!$W$2:$X$12, IF(J168="Huyện Bình Chánh", Ward!$Y$2:$Z$17, IF(J168="Quận Bình Tân", Ward!$AA$2:$AB$11, IF(J168="Quận Bình Thạnh", Ward!$AC$2:$AD$21, IF(J168="Huyện Cần Giờ", Ward!$AE$2:$AF$8, IF(J168="Huyện Củ Chi", Ward!$AG$2:$AH$22, IF(J168="Quận Gò Vấp", Ward!$AI$2:$AJ$17, IF(J168="Huyện Hóc Môn", Ward!$AK$2:$AL$13, IF(J168="Huyện Nhà Bè", Ward!$AM$2:$AN$8, IF(J168="Quận Phú Nhuận", Ward!$AO$2:$AP$16, IF(J168="Quận Tân Bình", Ward!$AQ$2:$AR$16, IF(J168="Quận Tân Phú", Ward!$AS$2:$AT$12, IF(J168="Quận Thủ Đức", Ward!$AU$2:$AV$13)))))))))))))))))))))))), 2, FALSE), "")</f>
        <v/>
      </c>
      <c r="Y168" s="20" t="str">
        <f>IF(B168 &lt;&gt; "", VLOOKUP(B168, HospitalType!$A$2:$B$9, 2, FALSE), "")</f>
        <v/>
      </c>
    </row>
    <row r="169" spans="1:25" x14ac:dyDescent="0.25">
      <c r="A169" s="34"/>
      <c r="B169" s="24"/>
      <c r="C169" s="24"/>
      <c r="D169" s="24"/>
      <c r="E169" s="24"/>
      <c r="F169" s="24"/>
      <c r="G169" s="25"/>
      <c r="H169" s="25"/>
      <c r="I169" s="25"/>
      <c r="J169" s="25"/>
      <c r="K169" s="25"/>
      <c r="L169" s="25"/>
      <c r="M169" s="25"/>
      <c r="N169" s="25"/>
      <c r="O169" s="25"/>
      <c r="P169" s="25"/>
      <c r="Q169" s="24"/>
      <c r="R169" s="26"/>
      <c r="S169" s="26"/>
      <c r="T169" s="26"/>
      <c r="U169" s="27"/>
      <c r="V169" s="20" t="str">
        <f>IF(I169 &lt;&gt; "", VLOOKUP(I169, City!$A$1:$B$2, 2, FALSE), "" )</f>
        <v/>
      </c>
      <c r="W169" s="20" t="str">
        <f>IF(J169 &lt;&gt; "", VLOOKUP(J169, District!$A$1:$B$25, 2, FALSE), "")</f>
        <v/>
      </c>
      <c r="X169" s="21" t="str">
        <f>IF(K169 &lt;&gt; "", VLOOKUP(K169, IF(J169="Quận 1", Ward!$A$2:$B$11, IF(J169="Quận 2", Ward!$C$2:$D$12, IF(J169="Quận 3", Ward!$E$2:$F$15, IF(J169="Quận 4", Ward!$G$2:$H$16, IF(J169="Quận 5", Ward!$I$2:$J$16, IF(J169="Quận 6", Ward!$K$2:$L$15, IF(J169="Quận 7", Ward!$M$2:$N$11, IF(J169="Quận 8", Ward!$O$2:$P$17, IF(J169="Quận 9", Ward!$Q$2:$R$14, IF(J169="Quận 10", Ward!$S$2:$T$16, IF(J169="Quận 11", Ward!$U$2:$V$17, IF(J169="Quận 12", Ward!$W$2:$X$12, IF(J169="Huyện Bình Chánh", Ward!$Y$2:$Z$17, IF(J169="Quận Bình Tân", Ward!$AA$2:$AB$11, IF(J169="Quận Bình Thạnh", Ward!$AC$2:$AD$21, IF(J169="Huyện Cần Giờ", Ward!$AE$2:$AF$8, IF(J169="Huyện Củ Chi", Ward!$AG$2:$AH$22, IF(J169="Quận Gò Vấp", Ward!$AI$2:$AJ$17, IF(J169="Huyện Hóc Môn", Ward!$AK$2:$AL$13, IF(J169="Huyện Nhà Bè", Ward!$AM$2:$AN$8, IF(J169="Quận Phú Nhuận", Ward!$AO$2:$AP$16, IF(J169="Quận Tân Bình", Ward!$AQ$2:$AR$16, IF(J169="Quận Tân Phú", Ward!$AS$2:$AT$12, IF(J169="Quận Thủ Đức", Ward!$AU$2:$AV$13)))))))))))))))))))))))), 2, FALSE), "")</f>
        <v/>
      </c>
      <c r="Y169" s="20" t="str">
        <f>IF(B169 &lt;&gt; "", VLOOKUP(B169, HospitalType!$A$2:$B$9, 2, FALSE), "")</f>
        <v/>
      </c>
    </row>
    <row r="170" spans="1:25" x14ac:dyDescent="0.25">
      <c r="A170" s="34"/>
      <c r="B170" s="24"/>
      <c r="C170" s="24"/>
      <c r="D170" s="24"/>
      <c r="E170" s="24"/>
      <c r="F170" s="24"/>
      <c r="G170" s="25"/>
      <c r="H170" s="25"/>
      <c r="I170" s="25"/>
      <c r="J170" s="25"/>
      <c r="K170" s="25"/>
      <c r="L170" s="25"/>
      <c r="M170" s="25"/>
      <c r="N170" s="25"/>
      <c r="O170" s="25"/>
      <c r="P170" s="25"/>
      <c r="Q170" s="24"/>
      <c r="R170" s="26"/>
      <c r="S170" s="26"/>
      <c r="T170" s="26"/>
      <c r="U170" s="27"/>
      <c r="V170" s="20" t="str">
        <f>IF(I170 &lt;&gt; "", VLOOKUP(I170, City!$A$1:$B$2, 2, FALSE), "" )</f>
        <v/>
      </c>
      <c r="W170" s="20" t="str">
        <f>IF(J170 &lt;&gt; "", VLOOKUP(J170, District!$A$1:$B$25, 2, FALSE), "")</f>
        <v/>
      </c>
      <c r="X170" s="21" t="str">
        <f>IF(K170 &lt;&gt; "", VLOOKUP(K170, IF(J170="Quận 1", Ward!$A$2:$B$11, IF(J170="Quận 2", Ward!$C$2:$D$12, IF(J170="Quận 3", Ward!$E$2:$F$15, IF(J170="Quận 4", Ward!$G$2:$H$16, IF(J170="Quận 5", Ward!$I$2:$J$16, IF(J170="Quận 6", Ward!$K$2:$L$15, IF(J170="Quận 7", Ward!$M$2:$N$11, IF(J170="Quận 8", Ward!$O$2:$P$17, IF(J170="Quận 9", Ward!$Q$2:$R$14, IF(J170="Quận 10", Ward!$S$2:$T$16, IF(J170="Quận 11", Ward!$U$2:$V$17, IF(J170="Quận 12", Ward!$W$2:$X$12, IF(J170="Huyện Bình Chánh", Ward!$Y$2:$Z$17, IF(J170="Quận Bình Tân", Ward!$AA$2:$AB$11, IF(J170="Quận Bình Thạnh", Ward!$AC$2:$AD$21, IF(J170="Huyện Cần Giờ", Ward!$AE$2:$AF$8, IF(J170="Huyện Củ Chi", Ward!$AG$2:$AH$22, IF(J170="Quận Gò Vấp", Ward!$AI$2:$AJ$17, IF(J170="Huyện Hóc Môn", Ward!$AK$2:$AL$13, IF(J170="Huyện Nhà Bè", Ward!$AM$2:$AN$8, IF(J170="Quận Phú Nhuận", Ward!$AO$2:$AP$16, IF(J170="Quận Tân Bình", Ward!$AQ$2:$AR$16, IF(J170="Quận Tân Phú", Ward!$AS$2:$AT$12, IF(J170="Quận Thủ Đức", Ward!$AU$2:$AV$13)))))))))))))))))))))))), 2, FALSE), "")</f>
        <v/>
      </c>
      <c r="Y170" s="20" t="str">
        <f>IF(B170 &lt;&gt; "", VLOOKUP(B170, HospitalType!$A$2:$B$9, 2, FALSE), "")</f>
        <v/>
      </c>
    </row>
    <row r="171" spans="1:25" x14ac:dyDescent="0.25">
      <c r="A171" s="34"/>
      <c r="B171" s="24"/>
      <c r="C171" s="24"/>
      <c r="D171" s="24"/>
      <c r="E171" s="24"/>
      <c r="F171" s="24"/>
      <c r="G171" s="25"/>
      <c r="H171" s="25"/>
      <c r="I171" s="25"/>
      <c r="J171" s="25"/>
      <c r="K171" s="25"/>
      <c r="L171" s="25"/>
      <c r="M171" s="25"/>
      <c r="N171" s="25"/>
      <c r="O171" s="25"/>
      <c r="P171" s="25"/>
      <c r="Q171" s="24"/>
      <c r="R171" s="26"/>
      <c r="S171" s="26"/>
      <c r="T171" s="26"/>
      <c r="U171" s="27"/>
      <c r="V171" s="20" t="str">
        <f>IF(I171 &lt;&gt; "", VLOOKUP(I171, City!$A$1:$B$2, 2, FALSE), "" )</f>
        <v/>
      </c>
      <c r="W171" s="20" t="str">
        <f>IF(J171 &lt;&gt; "", VLOOKUP(J171, District!$A$1:$B$25, 2, FALSE), "")</f>
        <v/>
      </c>
      <c r="X171" s="21" t="str">
        <f>IF(K171 &lt;&gt; "", VLOOKUP(K171, IF(J171="Quận 1", Ward!$A$2:$B$11, IF(J171="Quận 2", Ward!$C$2:$D$12, IF(J171="Quận 3", Ward!$E$2:$F$15, IF(J171="Quận 4", Ward!$G$2:$H$16, IF(J171="Quận 5", Ward!$I$2:$J$16, IF(J171="Quận 6", Ward!$K$2:$L$15, IF(J171="Quận 7", Ward!$M$2:$N$11, IF(J171="Quận 8", Ward!$O$2:$P$17, IF(J171="Quận 9", Ward!$Q$2:$R$14, IF(J171="Quận 10", Ward!$S$2:$T$16, IF(J171="Quận 11", Ward!$U$2:$V$17, IF(J171="Quận 12", Ward!$W$2:$X$12, IF(J171="Huyện Bình Chánh", Ward!$Y$2:$Z$17, IF(J171="Quận Bình Tân", Ward!$AA$2:$AB$11, IF(J171="Quận Bình Thạnh", Ward!$AC$2:$AD$21, IF(J171="Huyện Cần Giờ", Ward!$AE$2:$AF$8, IF(J171="Huyện Củ Chi", Ward!$AG$2:$AH$22, IF(J171="Quận Gò Vấp", Ward!$AI$2:$AJ$17, IF(J171="Huyện Hóc Môn", Ward!$AK$2:$AL$13, IF(J171="Huyện Nhà Bè", Ward!$AM$2:$AN$8, IF(J171="Quận Phú Nhuận", Ward!$AO$2:$AP$16, IF(J171="Quận Tân Bình", Ward!$AQ$2:$AR$16, IF(J171="Quận Tân Phú", Ward!$AS$2:$AT$12, IF(J171="Quận Thủ Đức", Ward!$AU$2:$AV$13)))))))))))))))))))))))), 2, FALSE), "")</f>
        <v/>
      </c>
      <c r="Y171" s="20" t="str">
        <f>IF(B171 &lt;&gt; "", VLOOKUP(B171, HospitalType!$A$2:$B$9, 2, FALSE), "")</f>
        <v/>
      </c>
    </row>
    <row r="172" spans="1:25" x14ac:dyDescent="0.25">
      <c r="A172" s="34"/>
      <c r="B172" s="24"/>
      <c r="C172" s="24"/>
      <c r="D172" s="24"/>
      <c r="E172" s="24"/>
      <c r="F172" s="24"/>
      <c r="G172" s="25"/>
      <c r="H172" s="25"/>
      <c r="I172" s="25"/>
      <c r="J172" s="25"/>
      <c r="K172" s="25"/>
      <c r="L172" s="25"/>
      <c r="M172" s="25"/>
      <c r="N172" s="25"/>
      <c r="O172" s="25"/>
      <c r="P172" s="25"/>
      <c r="Q172" s="24"/>
      <c r="R172" s="26"/>
      <c r="S172" s="26"/>
      <c r="T172" s="26"/>
      <c r="U172" s="27"/>
      <c r="V172" s="20" t="str">
        <f>IF(I172 &lt;&gt; "", VLOOKUP(I172, City!$A$1:$B$2, 2, FALSE), "" )</f>
        <v/>
      </c>
      <c r="W172" s="20" t="str">
        <f>IF(J172 &lt;&gt; "", VLOOKUP(J172, District!$A$1:$B$25, 2, FALSE), "")</f>
        <v/>
      </c>
      <c r="X172" s="21" t="str">
        <f>IF(K172 &lt;&gt; "", VLOOKUP(K172, IF(J172="Quận 1", Ward!$A$2:$B$11, IF(J172="Quận 2", Ward!$C$2:$D$12, IF(J172="Quận 3", Ward!$E$2:$F$15, IF(J172="Quận 4", Ward!$G$2:$H$16, IF(J172="Quận 5", Ward!$I$2:$J$16, IF(J172="Quận 6", Ward!$K$2:$L$15, IF(J172="Quận 7", Ward!$M$2:$N$11, IF(J172="Quận 8", Ward!$O$2:$P$17, IF(J172="Quận 9", Ward!$Q$2:$R$14, IF(J172="Quận 10", Ward!$S$2:$T$16, IF(J172="Quận 11", Ward!$U$2:$V$17, IF(J172="Quận 12", Ward!$W$2:$X$12, IF(J172="Huyện Bình Chánh", Ward!$Y$2:$Z$17, IF(J172="Quận Bình Tân", Ward!$AA$2:$AB$11, IF(J172="Quận Bình Thạnh", Ward!$AC$2:$AD$21, IF(J172="Huyện Cần Giờ", Ward!$AE$2:$AF$8, IF(J172="Huyện Củ Chi", Ward!$AG$2:$AH$22, IF(J172="Quận Gò Vấp", Ward!$AI$2:$AJ$17, IF(J172="Huyện Hóc Môn", Ward!$AK$2:$AL$13, IF(J172="Huyện Nhà Bè", Ward!$AM$2:$AN$8, IF(J172="Quận Phú Nhuận", Ward!$AO$2:$AP$16, IF(J172="Quận Tân Bình", Ward!$AQ$2:$AR$16, IF(J172="Quận Tân Phú", Ward!$AS$2:$AT$12, IF(J172="Quận Thủ Đức", Ward!$AU$2:$AV$13)))))))))))))))))))))))), 2, FALSE), "")</f>
        <v/>
      </c>
      <c r="Y172" s="20" t="str">
        <f>IF(B172 &lt;&gt; "", VLOOKUP(B172, HospitalType!$A$2:$B$9, 2, FALSE), "")</f>
        <v/>
      </c>
    </row>
    <row r="173" spans="1:25" x14ac:dyDescent="0.25">
      <c r="A173" s="34"/>
      <c r="B173" s="24"/>
      <c r="C173" s="24"/>
      <c r="D173" s="24"/>
      <c r="E173" s="24"/>
      <c r="F173" s="24"/>
      <c r="G173" s="25"/>
      <c r="H173" s="25"/>
      <c r="I173" s="25"/>
      <c r="J173" s="25"/>
      <c r="K173" s="25"/>
      <c r="L173" s="25"/>
      <c r="M173" s="25"/>
      <c r="N173" s="25"/>
      <c r="O173" s="25"/>
      <c r="P173" s="25"/>
      <c r="Q173" s="24"/>
      <c r="R173" s="26"/>
      <c r="S173" s="26"/>
      <c r="T173" s="26"/>
      <c r="U173" s="27"/>
      <c r="V173" s="20" t="str">
        <f>IF(I173 &lt;&gt; "", VLOOKUP(I173, City!$A$1:$B$2, 2, FALSE), "" )</f>
        <v/>
      </c>
      <c r="W173" s="20" t="str">
        <f>IF(J173 &lt;&gt; "", VLOOKUP(J173, District!$A$1:$B$25, 2, FALSE), "")</f>
        <v/>
      </c>
      <c r="X173" s="21" t="str">
        <f>IF(K173 &lt;&gt; "", VLOOKUP(K173, IF(J173="Quận 1", Ward!$A$2:$B$11, IF(J173="Quận 2", Ward!$C$2:$D$12, IF(J173="Quận 3", Ward!$E$2:$F$15, IF(J173="Quận 4", Ward!$G$2:$H$16, IF(J173="Quận 5", Ward!$I$2:$J$16, IF(J173="Quận 6", Ward!$K$2:$L$15, IF(J173="Quận 7", Ward!$M$2:$N$11, IF(J173="Quận 8", Ward!$O$2:$P$17, IF(J173="Quận 9", Ward!$Q$2:$R$14, IF(J173="Quận 10", Ward!$S$2:$T$16, IF(J173="Quận 11", Ward!$U$2:$V$17, IF(J173="Quận 12", Ward!$W$2:$X$12, IF(J173="Huyện Bình Chánh", Ward!$Y$2:$Z$17, IF(J173="Quận Bình Tân", Ward!$AA$2:$AB$11, IF(J173="Quận Bình Thạnh", Ward!$AC$2:$AD$21, IF(J173="Huyện Cần Giờ", Ward!$AE$2:$AF$8, IF(J173="Huyện Củ Chi", Ward!$AG$2:$AH$22, IF(J173="Quận Gò Vấp", Ward!$AI$2:$AJ$17, IF(J173="Huyện Hóc Môn", Ward!$AK$2:$AL$13, IF(J173="Huyện Nhà Bè", Ward!$AM$2:$AN$8, IF(J173="Quận Phú Nhuận", Ward!$AO$2:$AP$16, IF(J173="Quận Tân Bình", Ward!$AQ$2:$AR$16, IF(J173="Quận Tân Phú", Ward!$AS$2:$AT$12, IF(J173="Quận Thủ Đức", Ward!$AU$2:$AV$13)))))))))))))))))))))))), 2, FALSE), "")</f>
        <v/>
      </c>
      <c r="Y173" s="20" t="str">
        <f>IF(B173 &lt;&gt; "", VLOOKUP(B173, HospitalType!$A$2:$B$9, 2, FALSE), "")</f>
        <v/>
      </c>
    </row>
    <row r="174" spans="1:25" x14ac:dyDescent="0.25">
      <c r="A174" s="34"/>
      <c r="B174" s="24"/>
      <c r="C174" s="24"/>
      <c r="D174" s="24"/>
      <c r="E174" s="24"/>
      <c r="F174" s="24"/>
      <c r="G174" s="25"/>
      <c r="H174" s="25"/>
      <c r="I174" s="25"/>
      <c r="J174" s="25"/>
      <c r="K174" s="25"/>
      <c r="L174" s="25"/>
      <c r="M174" s="25"/>
      <c r="N174" s="25"/>
      <c r="O174" s="25"/>
      <c r="P174" s="25"/>
      <c r="Q174" s="24"/>
      <c r="R174" s="26"/>
      <c r="S174" s="26"/>
      <c r="T174" s="26"/>
      <c r="U174" s="27"/>
      <c r="V174" s="20" t="str">
        <f>IF(I174 &lt;&gt; "", VLOOKUP(I174, City!$A$1:$B$2, 2, FALSE), "" )</f>
        <v/>
      </c>
      <c r="W174" s="20" t="str">
        <f>IF(J174 &lt;&gt; "", VLOOKUP(J174, District!$A$1:$B$25, 2, FALSE), "")</f>
        <v/>
      </c>
      <c r="X174" s="21" t="str">
        <f>IF(K174 &lt;&gt; "", VLOOKUP(K174, IF(J174="Quận 1", Ward!$A$2:$B$11, IF(J174="Quận 2", Ward!$C$2:$D$12, IF(J174="Quận 3", Ward!$E$2:$F$15, IF(J174="Quận 4", Ward!$G$2:$H$16, IF(J174="Quận 5", Ward!$I$2:$J$16, IF(J174="Quận 6", Ward!$K$2:$L$15, IF(J174="Quận 7", Ward!$M$2:$N$11, IF(J174="Quận 8", Ward!$O$2:$P$17, IF(J174="Quận 9", Ward!$Q$2:$R$14, IF(J174="Quận 10", Ward!$S$2:$T$16, IF(J174="Quận 11", Ward!$U$2:$V$17, IF(J174="Quận 12", Ward!$W$2:$X$12, IF(J174="Huyện Bình Chánh", Ward!$Y$2:$Z$17, IF(J174="Quận Bình Tân", Ward!$AA$2:$AB$11, IF(J174="Quận Bình Thạnh", Ward!$AC$2:$AD$21, IF(J174="Huyện Cần Giờ", Ward!$AE$2:$AF$8, IF(J174="Huyện Củ Chi", Ward!$AG$2:$AH$22, IF(J174="Quận Gò Vấp", Ward!$AI$2:$AJ$17, IF(J174="Huyện Hóc Môn", Ward!$AK$2:$AL$13, IF(J174="Huyện Nhà Bè", Ward!$AM$2:$AN$8, IF(J174="Quận Phú Nhuận", Ward!$AO$2:$AP$16, IF(J174="Quận Tân Bình", Ward!$AQ$2:$AR$16, IF(J174="Quận Tân Phú", Ward!$AS$2:$AT$12, IF(J174="Quận Thủ Đức", Ward!$AU$2:$AV$13)))))))))))))))))))))))), 2, FALSE), "")</f>
        <v/>
      </c>
      <c r="Y174" s="20" t="str">
        <f>IF(B174 &lt;&gt; "", VLOOKUP(B174, HospitalType!$A$2:$B$9, 2, FALSE), "")</f>
        <v/>
      </c>
    </row>
    <row r="175" spans="1:25" x14ac:dyDescent="0.25">
      <c r="A175" s="34"/>
      <c r="B175" s="24"/>
      <c r="C175" s="24"/>
      <c r="D175" s="24"/>
      <c r="E175" s="24"/>
      <c r="F175" s="24"/>
      <c r="G175" s="25"/>
      <c r="H175" s="25"/>
      <c r="I175" s="25"/>
      <c r="J175" s="25"/>
      <c r="K175" s="25"/>
      <c r="L175" s="25"/>
      <c r="M175" s="25"/>
      <c r="N175" s="25"/>
      <c r="O175" s="25"/>
      <c r="P175" s="25"/>
      <c r="Q175" s="24"/>
      <c r="R175" s="26"/>
      <c r="S175" s="26"/>
      <c r="T175" s="26"/>
      <c r="U175" s="27"/>
      <c r="V175" s="20" t="str">
        <f>IF(I175 &lt;&gt; "", VLOOKUP(I175, City!$A$1:$B$2, 2, FALSE), "" )</f>
        <v/>
      </c>
      <c r="W175" s="20" t="str">
        <f>IF(J175 &lt;&gt; "", VLOOKUP(J175, District!$A$1:$B$25, 2, FALSE), "")</f>
        <v/>
      </c>
      <c r="X175" s="21" t="str">
        <f>IF(K175 &lt;&gt; "", VLOOKUP(K175, IF(J175="Quận 1", Ward!$A$2:$B$11, IF(J175="Quận 2", Ward!$C$2:$D$12, IF(J175="Quận 3", Ward!$E$2:$F$15, IF(J175="Quận 4", Ward!$G$2:$H$16, IF(J175="Quận 5", Ward!$I$2:$J$16, IF(J175="Quận 6", Ward!$K$2:$L$15, IF(J175="Quận 7", Ward!$M$2:$N$11, IF(J175="Quận 8", Ward!$O$2:$P$17, IF(J175="Quận 9", Ward!$Q$2:$R$14, IF(J175="Quận 10", Ward!$S$2:$T$16, IF(J175="Quận 11", Ward!$U$2:$V$17, IF(J175="Quận 12", Ward!$W$2:$X$12, IF(J175="Huyện Bình Chánh", Ward!$Y$2:$Z$17, IF(J175="Quận Bình Tân", Ward!$AA$2:$AB$11, IF(J175="Quận Bình Thạnh", Ward!$AC$2:$AD$21, IF(J175="Huyện Cần Giờ", Ward!$AE$2:$AF$8, IF(J175="Huyện Củ Chi", Ward!$AG$2:$AH$22, IF(J175="Quận Gò Vấp", Ward!$AI$2:$AJ$17, IF(J175="Huyện Hóc Môn", Ward!$AK$2:$AL$13, IF(J175="Huyện Nhà Bè", Ward!$AM$2:$AN$8, IF(J175="Quận Phú Nhuận", Ward!$AO$2:$AP$16, IF(J175="Quận Tân Bình", Ward!$AQ$2:$AR$16, IF(J175="Quận Tân Phú", Ward!$AS$2:$AT$12, IF(J175="Quận Thủ Đức", Ward!$AU$2:$AV$13)))))))))))))))))))))))), 2, FALSE), "")</f>
        <v/>
      </c>
      <c r="Y175" s="20" t="str">
        <f>IF(B175 &lt;&gt; "", VLOOKUP(B175, HospitalType!$A$2:$B$9, 2, FALSE), "")</f>
        <v/>
      </c>
    </row>
    <row r="176" spans="1:25" x14ac:dyDescent="0.25">
      <c r="A176" s="34"/>
      <c r="B176" s="24"/>
      <c r="C176" s="24"/>
      <c r="D176" s="24"/>
      <c r="E176" s="24"/>
      <c r="F176" s="24"/>
      <c r="G176" s="25"/>
      <c r="H176" s="25"/>
      <c r="I176" s="25"/>
      <c r="J176" s="25"/>
      <c r="K176" s="25"/>
      <c r="L176" s="25"/>
      <c r="M176" s="25"/>
      <c r="N176" s="25"/>
      <c r="O176" s="25"/>
      <c r="P176" s="25"/>
      <c r="Q176" s="24"/>
      <c r="R176" s="26"/>
      <c r="S176" s="26"/>
      <c r="T176" s="26"/>
      <c r="U176" s="27"/>
      <c r="V176" s="20" t="str">
        <f>IF(I176 &lt;&gt; "", VLOOKUP(I176, City!$A$1:$B$2, 2, FALSE), "" )</f>
        <v/>
      </c>
      <c r="W176" s="20" t="str">
        <f>IF(J176 &lt;&gt; "", VLOOKUP(J176, District!$A$1:$B$25, 2, FALSE), "")</f>
        <v/>
      </c>
      <c r="X176" s="21" t="str">
        <f>IF(K176 &lt;&gt; "", VLOOKUP(K176, IF(J176="Quận 1", Ward!$A$2:$B$11, IF(J176="Quận 2", Ward!$C$2:$D$12, IF(J176="Quận 3", Ward!$E$2:$F$15, IF(J176="Quận 4", Ward!$G$2:$H$16, IF(J176="Quận 5", Ward!$I$2:$J$16, IF(J176="Quận 6", Ward!$K$2:$L$15, IF(J176="Quận 7", Ward!$M$2:$N$11, IF(J176="Quận 8", Ward!$O$2:$P$17, IF(J176="Quận 9", Ward!$Q$2:$R$14, IF(J176="Quận 10", Ward!$S$2:$T$16, IF(J176="Quận 11", Ward!$U$2:$V$17, IF(J176="Quận 12", Ward!$W$2:$X$12, IF(J176="Huyện Bình Chánh", Ward!$Y$2:$Z$17, IF(J176="Quận Bình Tân", Ward!$AA$2:$AB$11, IF(J176="Quận Bình Thạnh", Ward!$AC$2:$AD$21, IF(J176="Huyện Cần Giờ", Ward!$AE$2:$AF$8, IF(J176="Huyện Củ Chi", Ward!$AG$2:$AH$22, IF(J176="Quận Gò Vấp", Ward!$AI$2:$AJ$17, IF(J176="Huyện Hóc Môn", Ward!$AK$2:$AL$13, IF(J176="Huyện Nhà Bè", Ward!$AM$2:$AN$8, IF(J176="Quận Phú Nhuận", Ward!$AO$2:$AP$16, IF(J176="Quận Tân Bình", Ward!$AQ$2:$AR$16, IF(J176="Quận Tân Phú", Ward!$AS$2:$AT$12, IF(J176="Quận Thủ Đức", Ward!$AU$2:$AV$13)))))))))))))))))))))))), 2, FALSE), "")</f>
        <v/>
      </c>
      <c r="Y176" s="20" t="str">
        <f>IF(B176 &lt;&gt; "", VLOOKUP(B176, HospitalType!$A$2:$B$9, 2, FALSE), "")</f>
        <v/>
      </c>
    </row>
    <row r="177" spans="1:25" x14ac:dyDescent="0.25">
      <c r="A177" s="34"/>
      <c r="B177" s="24"/>
      <c r="C177" s="24"/>
      <c r="D177" s="24"/>
      <c r="E177" s="24"/>
      <c r="F177" s="24"/>
      <c r="G177" s="25"/>
      <c r="H177" s="25"/>
      <c r="I177" s="25"/>
      <c r="J177" s="25"/>
      <c r="K177" s="25"/>
      <c r="L177" s="25"/>
      <c r="M177" s="25"/>
      <c r="N177" s="25"/>
      <c r="O177" s="25"/>
      <c r="P177" s="25"/>
      <c r="Q177" s="24"/>
      <c r="R177" s="26"/>
      <c r="S177" s="26"/>
      <c r="T177" s="26"/>
      <c r="U177" s="27"/>
      <c r="V177" s="20" t="str">
        <f>IF(I177 &lt;&gt; "", VLOOKUP(I177, City!$A$1:$B$2, 2, FALSE), "" )</f>
        <v/>
      </c>
      <c r="W177" s="20" t="str">
        <f>IF(J177 &lt;&gt; "", VLOOKUP(J177, District!$A$1:$B$25, 2, FALSE), "")</f>
        <v/>
      </c>
      <c r="X177" s="21" t="str">
        <f>IF(K177 &lt;&gt; "", VLOOKUP(K177, IF(J177="Quận 1", Ward!$A$2:$B$11, IF(J177="Quận 2", Ward!$C$2:$D$12, IF(J177="Quận 3", Ward!$E$2:$F$15, IF(J177="Quận 4", Ward!$G$2:$H$16, IF(J177="Quận 5", Ward!$I$2:$J$16, IF(J177="Quận 6", Ward!$K$2:$L$15, IF(J177="Quận 7", Ward!$M$2:$N$11, IF(J177="Quận 8", Ward!$O$2:$P$17, IF(J177="Quận 9", Ward!$Q$2:$R$14, IF(J177="Quận 10", Ward!$S$2:$T$16, IF(J177="Quận 11", Ward!$U$2:$V$17, IF(J177="Quận 12", Ward!$W$2:$X$12, IF(J177="Huyện Bình Chánh", Ward!$Y$2:$Z$17, IF(J177="Quận Bình Tân", Ward!$AA$2:$AB$11, IF(J177="Quận Bình Thạnh", Ward!$AC$2:$AD$21, IF(J177="Huyện Cần Giờ", Ward!$AE$2:$AF$8, IF(J177="Huyện Củ Chi", Ward!$AG$2:$AH$22, IF(J177="Quận Gò Vấp", Ward!$AI$2:$AJ$17, IF(J177="Huyện Hóc Môn", Ward!$AK$2:$AL$13, IF(J177="Huyện Nhà Bè", Ward!$AM$2:$AN$8, IF(J177="Quận Phú Nhuận", Ward!$AO$2:$AP$16, IF(J177="Quận Tân Bình", Ward!$AQ$2:$AR$16, IF(J177="Quận Tân Phú", Ward!$AS$2:$AT$12, IF(J177="Quận Thủ Đức", Ward!$AU$2:$AV$13)))))))))))))))))))))))), 2, FALSE), "")</f>
        <v/>
      </c>
      <c r="Y177" s="20" t="str">
        <f>IF(B177 &lt;&gt; "", VLOOKUP(B177, HospitalType!$A$2:$B$9, 2, FALSE), "")</f>
        <v/>
      </c>
    </row>
    <row r="178" spans="1:25" x14ac:dyDescent="0.25">
      <c r="A178" s="34"/>
      <c r="B178" s="24"/>
      <c r="C178" s="24"/>
      <c r="D178" s="24"/>
      <c r="E178" s="24"/>
      <c r="F178" s="24"/>
      <c r="G178" s="25"/>
      <c r="H178" s="25"/>
      <c r="I178" s="25"/>
      <c r="J178" s="25"/>
      <c r="K178" s="25"/>
      <c r="L178" s="25"/>
      <c r="M178" s="25"/>
      <c r="N178" s="25"/>
      <c r="O178" s="25"/>
      <c r="P178" s="25"/>
      <c r="Q178" s="24"/>
      <c r="R178" s="26"/>
      <c r="S178" s="26"/>
      <c r="T178" s="26"/>
      <c r="U178" s="27"/>
      <c r="V178" s="20" t="str">
        <f>IF(I178 &lt;&gt; "", VLOOKUP(I178, City!$A$1:$B$2, 2, FALSE), "" )</f>
        <v/>
      </c>
      <c r="W178" s="20" t="str">
        <f>IF(J178 &lt;&gt; "", VLOOKUP(J178, District!$A$1:$B$25, 2, FALSE), "")</f>
        <v/>
      </c>
      <c r="X178" s="21" t="str">
        <f>IF(K178 &lt;&gt; "", VLOOKUP(K178, IF(J178="Quận 1", Ward!$A$2:$B$11, IF(J178="Quận 2", Ward!$C$2:$D$12, IF(J178="Quận 3", Ward!$E$2:$F$15, IF(J178="Quận 4", Ward!$G$2:$H$16, IF(J178="Quận 5", Ward!$I$2:$J$16, IF(J178="Quận 6", Ward!$K$2:$L$15, IF(J178="Quận 7", Ward!$M$2:$N$11, IF(J178="Quận 8", Ward!$O$2:$P$17, IF(J178="Quận 9", Ward!$Q$2:$R$14, IF(J178="Quận 10", Ward!$S$2:$T$16, IF(J178="Quận 11", Ward!$U$2:$V$17, IF(J178="Quận 12", Ward!$W$2:$X$12, IF(J178="Huyện Bình Chánh", Ward!$Y$2:$Z$17, IF(J178="Quận Bình Tân", Ward!$AA$2:$AB$11, IF(J178="Quận Bình Thạnh", Ward!$AC$2:$AD$21, IF(J178="Huyện Cần Giờ", Ward!$AE$2:$AF$8, IF(J178="Huyện Củ Chi", Ward!$AG$2:$AH$22, IF(J178="Quận Gò Vấp", Ward!$AI$2:$AJ$17, IF(J178="Huyện Hóc Môn", Ward!$AK$2:$AL$13, IF(J178="Huyện Nhà Bè", Ward!$AM$2:$AN$8, IF(J178="Quận Phú Nhuận", Ward!$AO$2:$AP$16, IF(J178="Quận Tân Bình", Ward!$AQ$2:$AR$16, IF(J178="Quận Tân Phú", Ward!$AS$2:$AT$12, IF(J178="Quận Thủ Đức", Ward!$AU$2:$AV$13)))))))))))))))))))))))), 2, FALSE), "")</f>
        <v/>
      </c>
      <c r="Y178" s="20" t="str">
        <f>IF(B178 &lt;&gt; "", VLOOKUP(B178, HospitalType!$A$2:$B$9, 2, FALSE), "")</f>
        <v/>
      </c>
    </row>
    <row r="179" spans="1:25" x14ac:dyDescent="0.25">
      <c r="A179" s="34"/>
      <c r="B179" s="24"/>
      <c r="C179" s="24"/>
      <c r="D179" s="24"/>
      <c r="E179" s="24"/>
      <c r="F179" s="24"/>
      <c r="G179" s="25"/>
      <c r="H179" s="25"/>
      <c r="I179" s="25"/>
      <c r="J179" s="25"/>
      <c r="K179" s="25"/>
      <c r="L179" s="25"/>
      <c r="M179" s="25"/>
      <c r="N179" s="25"/>
      <c r="O179" s="25"/>
      <c r="P179" s="25"/>
      <c r="Q179" s="24"/>
      <c r="R179" s="26"/>
      <c r="S179" s="26"/>
      <c r="T179" s="26"/>
      <c r="U179" s="27"/>
      <c r="V179" s="20" t="str">
        <f>IF(I179 &lt;&gt; "", VLOOKUP(I179, City!$A$1:$B$2, 2, FALSE), "" )</f>
        <v/>
      </c>
      <c r="W179" s="20" t="str">
        <f>IF(J179 &lt;&gt; "", VLOOKUP(J179, District!$A$1:$B$25, 2, FALSE), "")</f>
        <v/>
      </c>
      <c r="X179" s="21" t="str">
        <f>IF(K179 &lt;&gt; "", VLOOKUP(K179, IF(J179="Quận 1", Ward!$A$2:$B$11, IF(J179="Quận 2", Ward!$C$2:$D$12, IF(J179="Quận 3", Ward!$E$2:$F$15, IF(J179="Quận 4", Ward!$G$2:$H$16, IF(J179="Quận 5", Ward!$I$2:$J$16, IF(J179="Quận 6", Ward!$K$2:$L$15, IF(J179="Quận 7", Ward!$M$2:$N$11, IF(J179="Quận 8", Ward!$O$2:$P$17, IF(J179="Quận 9", Ward!$Q$2:$R$14, IF(J179="Quận 10", Ward!$S$2:$T$16, IF(J179="Quận 11", Ward!$U$2:$V$17, IF(J179="Quận 12", Ward!$W$2:$X$12, IF(J179="Huyện Bình Chánh", Ward!$Y$2:$Z$17, IF(J179="Quận Bình Tân", Ward!$AA$2:$AB$11, IF(J179="Quận Bình Thạnh", Ward!$AC$2:$AD$21, IF(J179="Huyện Cần Giờ", Ward!$AE$2:$AF$8, IF(J179="Huyện Củ Chi", Ward!$AG$2:$AH$22, IF(J179="Quận Gò Vấp", Ward!$AI$2:$AJ$17, IF(J179="Huyện Hóc Môn", Ward!$AK$2:$AL$13, IF(J179="Huyện Nhà Bè", Ward!$AM$2:$AN$8, IF(J179="Quận Phú Nhuận", Ward!$AO$2:$AP$16, IF(J179="Quận Tân Bình", Ward!$AQ$2:$AR$16, IF(J179="Quận Tân Phú", Ward!$AS$2:$AT$12, IF(J179="Quận Thủ Đức", Ward!$AU$2:$AV$13)))))))))))))))))))))))), 2, FALSE), "")</f>
        <v/>
      </c>
      <c r="Y179" s="20" t="str">
        <f>IF(B179 &lt;&gt; "", VLOOKUP(B179, HospitalType!$A$2:$B$9, 2, FALSE), "")</f>
        <v/>
      </c>
    </row>
    <row r="180" spans="1:25" x14ac:dyDescent="0.25">
      <c r="A180" s="34"/>
      <c r="B180" s="24"/>
      <c r="C180" s="24"/>
      <c r="D180" s="24"/>
      <c r="E180" s="24"/>
      <c r="F180" s="24"/>
      <c r="G180" s="25"/>
      <c r="H180" s="25"/>
      <c r="I180" s="25"/>
      <c r="J180" s="25"/>
      <c r="K180" s="25"/>
      <c r="L180" s="25"/>
      <c r="M180" s="25"/>
      <c r="N180" s="25"/>
      <c r="O180" s="25"/>
      <c r="P180" s="25"/>
      <c r="Q180" s="24"/>
      <c r="R180" s="26"/>
      <c r="S180" s="26"/>
      <c r="T180" s="26"/>
      <c r="U180" s="27"/>
      <c r="V180" s="20" t="str">
        <f>IF(I180 &lt;&gt; "", VLOOKUP(I180, City!$A$1:$B$2, 2, FALSE), "" )</f>
        <v/>
      </c>
      <c r="W180" s="20" t="str">
        <f>IF(J180 &lt;&gt; "", VLOOKUP(J180, District!$A$1:$B$25, 2, FALSE), "")</f>
        <v/>
      </c>
      <c r="X180" s="21" t="str">
        <f>IF(K180 &lt;&gt; "", VLOOKUP(K180, IF(J180="Quận 1", Ward!$A$2:$B$11, IF(J180="Quận 2", Ward!$C$2:$D$12, IF(J180="Quận 3", Ward!$E$2:$F$15, IF(J180="Quận 4", Ward!$G$2:$H$16, IF(J180="Quận 5", Ward!$I$2:$J$16, IF(J180="Quận 6", Ward!$K$2:$L$15, IF(J180="Quận 7", Ward!$M$2:$N$11, IF(J180="Quận 8", Ward!$O$2:$P$17, IF(J180="Quận 9", Ward!$Q$2:$R$14, IF(J180="Quận 10", Ward!$S$2:$T$16, IF(J180="Quận 11", Ward!$U$2:$V$17, IF(J180="Quận 12", Ward!$W$2:$X$12, IF(J180="Huyện Bình Chánh", Ward!$Y$2:$Z$17, IF(J180="Quận Bình Tân", Ward!$AA$2:$AB$11, IF(J180="Quận Bình Thạnh", Ward!$AC$2:$AD$21, IF(J180="Huyện Cần Giờ", Ward!$AE$2:$AF$8, IF(J180="Huyện Củ Chi", Ward!$AG$2:$AH$22, IF(J180="Quận Gò Vấp", Ward!$AI$2:$AJ$17, IF(J180="Huyện Hóc Môn", Ward!$AK$2:$AL$13, IF(J180="Huyện Nhà Bè", Ward!$AM$2:$AN$8, IF(J180="Quận Phú Nhuận", Ward!$AO$2:$AP$16, IF(J180="Quận Tân Bình", Ward!$AQ$2:$AR$16, IF(J180="Quận Tân Phú", Ward!$AS$2:$AT$12, IF(J180="Quận Thủ Đức", Ward!$AU$2:$AV$13)))))))))))))))))))))))), 2, FALSE), "")</f>
        <v/>
      </c>
      <c r="Y180" s="20" t="str">
        <f>IF(B180 &lt;&gt; "", VLOOKUP(B180, HospitalType!$A$2:$B$9, 2, FALSE), "")</f>
        <v/>
      </c>
    </row>
    <row r="181" spans="1:25" x14ac:dyDescent="0.25">
      <c r="A181" s="34"/>
      <c r="B181" s="24"/>
      <c r="C181" s="24"/>
      <c r="D181" s="24"/>
      <c r="E181" s="24"/>
      <c r="F181" s="24"/>
      <c r="G181" s="25"/>
      <c r="H181" s="25"/>
      <c r="I181" s="25"/>
      <c r="J181" s="25"/>
      <c r="K181" s="25"/>
      <c r="L181" s="25"/>
      <c r="M181" s="25"/>
      <c r="N181" s="25"/>
      <c r="O181" s="25"/>
      <c r="P181" s="25"/>
      <c r="Q181" s="24"/>
      <c r="R181" s="26"/>
      <c r="S181" s="26"/>
      <c r="T181" s="26"/>
      <c r="U181" s="27"/>
      <c r="V181" s="20" t="str">
        <f>IF(I181 &lt;&gt; "", VLOOKUP(I181, City!$A$1:$B$2, 2, FALSE), "" )</f>
        <v/>
      </c>
      <c r="W181" s="20" t="str">
        <f>IF(J181 &lt;&gt; "", VLOOKUP(J181, District!$A$1:$B$25, 2, FALSE), "")</f>
        <v/>
      </c>
      <c r="X181" s="21" t="str">
        <f>IF(K181 &lt;&gt; "", VLOOKUP(K181, IF(J181="Quận 1", Ward!$A$2:$B$11, IF(J181="Quận 2", Ward!$C$2:$D$12, IF(J181="Quận 3", Ward!$E$2:$F$15, IF(J181="Quận 4", Ward!$G$2:$H$16, IF(J181="Quận 5", Ward!$I$2:$J$16, IF(J181="Quận 6", Ward!$K$2:$L$15, IF(J181="Quận 7", Ward!$M$2:$N$11, IF(J181="Quận 8", Ward!$O$2:$P$17, IF(J181="Quận 9", Ward!$Q$2:$R$14, IF(J181="Quận 10", Ward!$S$2:$T$16, IF(J181="Quận 11", Ward!$U$2:$V$17, IF(J181="Quận 12", Ward!$W$2:$X$12, IF(J181="Huyện Bình Chánh", Ward!$Y$2:$Z$17, IF(J181="Quận Bình Tân", Ward!$AA$2:$AB$11, IF(J181="Quận Bình Thạnh", Ward!$AC$2:$AD$21, IF(J181="Huyện Cần Giờ", Ward!$AE$2:$AF$8, IF(J181="Huyện Củ Chi", Ward!$AG$2:$AH$22, IF(J181="Quận Gò Vấp", Ward!$AI$2:$AJ$17, IF(J181="Huyện Hóc Môn", Ward!$AK$2:$AL$13, IF(J181="Huyện Nhà Bè", Ward!$AM$2:$AN$8, IF(J181="Quận Phú Nhuận", Ward!$AO$2:$AP$16, IF(J181="Quận Tân Bình", Ward!$AQ$2:$AR$16, IF(J181="Quận Tân Phú", Ward!$AS$2:$AT$12, IF(J181="Quận Thủ Đức", Ward!$AU$2:$AV$13)))))))))))))))))))))))), 2, FALSE), "")</f>
        <v/>
      </c>
      <c r="Y181" s="20" t="str">
        <f>IF(B181 &lt;&gt; "", VLOOKUP(B181, HospitalType!$A$2:$B$9, 2, FALSE), "")</f>
        <v/>
      </c>
    </row>
    <row r="182" spans="1:25" x14ac:dyDescent="0.25">
      <c r="A182" s="34"/>
      <c r="B182" s="24"/>
      <c r="C182" s="24"/>
      <c r="D182" s="24"/>
      <c r="E182" s="24"/>
      <c r="F182" s="24"/>
      <c r="G182" s="25"/>
      <c r="H182" s="25"/>
      <c r="I182" s="25"/>
      <c r="J182" s="25"/>
      <c r="K182" s="25"/>
      <c r="L182" s="25"/>
      <c r="M182" s="25"/>
      <c r="N182" s="25"/>
      <c r="O182" s="25"/>
      <c r="P182" s="25"/>
      <c r="Q182" s="24"/>
      <c r="R182" s="26"/>
      <c r="S182" s="26"/>
      <c r="T182" s="26"/>
      <c r="U182" s="27"/>
      <c r="V182" s="20" t="str">
        <f>IF(I182 &lt;&gt; "", VLOOKUP(I182, City!$A$1:$B$2, 2, FALSE), "" )</f>
        <v/>
      </c>
      <c r="W182" s="20" t="str">
        <f>IF(J182 &lt;&gt; "", VLOOKUP(J182, District!$A$1:$B$25, 2, FALSE), "")</f>
        <v/>
      </c>
      <c r="X182" s="21" t="str">
        <f>IF(K182 &lt;&gt; "", VLOOKUP(K182, IF(J182="Quận 1", Ward!$A$2:$B$11, IF(J182="Quận 2", Ward!$C$2:$D$12, IF(J182="Quận 3", Ward!$E$2:$F$15, IF(J182="Quận 4", Ward!$G$2:$H$16, IF(J182="Quận 5", Ward!$I$2:$J$16, IF(J182="Quận 6", Ward!$K$2:$L$15, IF(J182="Quận 7", Ward!$M$2:$N$11, IF(J182="Quận 8", Ward!$O$2:$P$17, IF(J182="Quận 9", Ward!$Q$2:$R$14, IF(J182="Quận 10", Ward!$S$2:$T$16, IF(J182="Quận 11", Ward!$U$2:$V$17, IF(J182="Quận 12", Ward!$W$2:$X$12, IF(J182="Huyện Bình Chánh", Ward!$Y$2:$Z$17, IF(J182="Quận Bình Tân", Ward!$AA$2:$AB$11, IF(J182="Quận Bình Thạnh", Ward!$AC$2:$AD$21, IF(J182="Huyện Cần Giờ", Ward!$AE$2:$AF$8, IF(J182="Huyện Củ Chi", Ward!$AG$2:$AH$22, IF(J182="Quận Gò Vấp", Ward!$AI$2:$AJ$17, IF(J182="Huyện Hóc Môn", Ward!$AK$2:$AL$13, IF(J182="Huyện Nhà Bè", Ward!$AM$2:$AN$8, IF(J182="Quận Phú Nhuận", Ward!$AO$2:$AP$16, IF(J182="Quận Tân Bình", Ward!$AQ$2:$AR$16, IF(J182="Quận Tân Phú", Ward!$AS$2:$AT$12, IF(J182="Quận Thủ Đức", Ward!$AU$2:$AV$13)))))))))))))))))))))))), 2, FALSE), "")</f>
        <v/>
      </c>
      <c r="Y182" s="20" t="str">
        <f>IF(B182 &lt;&gt; "", VLOOKUP(B182, HospitalType!$A$2:$B$9, 2, FALSE), "")</f>
        <v/>
      </c>
    </row>
    <row r="183" spans="1:25" x14ac:dyDescent="0.25">
      <c r="A183" s="34"/>
      <c r="B183" s="24"/>
      <c r="C183" s="24"/>
      <c r="D183" s="24"/>
      <c r="E183" s="24"/>
      <c r="F183" s="24"/>
      <c r="G183" s="25"/>
      <c r="H183" s="25"/>
      <c r="I183" s="25"/>
      <c r="J183" s="25"/>
      <c r="K183" s="25"/>
      <c r="L183" s="25"/>
      <c r="M183" s="25"/>
      <c r="N183" s="25"/>
      <c r="O183" s="25"/>
      <c r="P183" s="25"/>
      <c r="Q183" s="24"/>
      <c r="R183" s="26"/>
      <c r="S183" s="26"/>
      <c r="T183" s="26"/>
      <c r="U183" s="27"/>
      <c r="V183" s="20" t="str">
        <f>IF(I183 &lt;&gt; "", VLOOKUP(I183, City!$A$1:$B$2, 2, FALSE), "" )</f>
        <v/>
      </c>
      <c r="W183" s="20" t="str">
        <f>IF(J183 &lt;&gt; "", VLOOKUP(J183, District!$A$1:$B$25, 2, FALSE), "")</f>
        <v/>
      </c>
      <c r="X183" s="21" t="str">
        <f>IF(K183 &lt;&gt; "", VLOOKUP(K183, IF(J183="Quận 1", Ward!$A$2:$B$11, IF(J183="Quận 2", Ward!$C$2:$D$12, IF(J183="Quận 3", Ward!$E$2:$F$15, IF(J183="Quận 4", Ward!$G$2:$H$16, IF(J183="Quận 5", Ward!$I$2:$J$16, IF(J183="Quận 6", Ward!$K$2:$L$15, IF(J183="Quận 7", Ward!$M$2:$N$11, IF(J183="Quận 8", Ward!$O$2:$P$17, IF(J183="Quận 9", Ward!$Q$2:$R$14, IF(J183="Quận 10", Ward!$S$2:$T$16, IF(J183="Quận 11", Ward!$U$2:$V$17, IF(J183="Quận 12", Ward!$W$2:$X$12, IF(J183="Huyện Bình Chánh", Ward!$Y$2:$Z$17, IF(J183="Quận Bình Tân", Ward!$AA$2:$AB$11, IF(J183="Quận Bình Thạnh", Ward!$AC$2:$AD$21, IF(J183="Huyện Cần Giờ", Ward!$AE$2:$AF$8, IF(J183="Huyện Củ Chi", Ward!$AG$2:$AH$22, IF(J183="Quận Gò Vấp", Ward!$AI$2:$AJ$17, IF(J183="Huyện Hóc Môn", Ward!$AK$2:$AL$13, IF(J183="Huyện Nhà Bè", Ward!$AM$2:$AN$8, IF(J183="Quận Phú Nhuận", Ward!$AO$2:$AP$16, IF(J183="Quận Tân Bình", Ward!$AQ$2:$AR$16, IF(J183="Quận Tân Phú", Ward!$AS$2:$AT$12, IF(J183="Quận Thủ Đức", Ward!$AU$2:$AV$13)))))))))))))))))))))))), 2, FALSE), "")</f>
        <v/>
      </c>
      <c r="Y183" s="20" t="str">
        <f>IF(B183 &lt;&gt; "", VLOOKUP(B183, HospitalType!$A$2:$B$9, 2, FALSE), "")</f>
        <v/>
      </c>
    </row>
    <row r="184" spans="1:25" x14ac:dyDescent="0.25">
      <c r="A184" s="34"/>
      <c r="B184" s="24"/>
      <c r="C184" s="24"/>
      <c r="D184" s="24"/>
      <c r="E184" s="24"/>
      <c r="F184" s="24"/>
      <c r="G184" s="25"/>
      <c r="H184" s="25"/>
      <c r="I184" s="25"/>
      <c r="J184" s="25"/>
      <c r="K184" s="25"/>
      <c r="L184" s="25"/>
      <c r="M184" s="25"/>
      <c r="N184" s="25"/>
      <c r="O184" s="25"/>
      <c r="P184" s="25"/>
      <c r="Q184" s="24"/>
      <c r="R184" s="26"/>
      <c r="S184" s="26"/>
      <c r="T184" s="26"/>
      <c r="U184" s="27"/>
      <c r="V184" s="20" t="str">
        <f>IF(I184 &lt;&gt; "", VLOOKUP(I184, City!$A$1:$B$2, 2, FALSE), "" )</f>
        <v/>
      </c>
      <c r="W184" s="20" t="str">
        <f>IF(J184 &lt;&gt; "", VLOOKUP(J184, District!$A$1:$B$25, 2, FALSE), "")</f>
        <v/>
      </c>
      <c r="X184" s="21" t="str">
        <f>IF(K184 &lt;&gt; "", VLOOKUP(K184, IF(J184="Quận 1", Ward!$A$2:$B$11, IF(J184="Quận 2", Ward!$C$2:$D$12, IF(J184="Quận 3", Ward!$E$2:$F$15, IF(J184="Quận 4", Ward!$G$2:$H$16, IF(J184="Quận 5", Ward!$I$2:$J$16, IF(J184="Quận 6", Ward!$K$2:$L$15, IF(J184="Quận 7", Ward!$M$2:$N$11, IF(J184="Quận 8", Ward!$O$2:$P$17, IF(J184="Quận 9", Ward!$Q$2:$R$14, IF(J184="Quận 10", Ward!$S$2:$T$16, IF(J184="Quận 11", Ward!$U$2:$V$17, IF(J184="Quận 12", Ward!$W$2:$X$12, IF(J184="Huyện Bình Chánh", Ward!$Y$2:$Z$17, IF(J184="Quận Bình Tân", Ward!$AA$2:$AB$11, IF(J184="Quận Bình Thạnh", Ward!$AC$2:$AD$21, IF(J184="Huyện Cần Giờ", Ward!$AE$2:$AF$8, IF(J184="Huyện Củ Chi", Ward!$AG$2:$AH$22, IF(J184="Quận Gò Vấp", Ward!$AI$2:$AJ$17, IF(J184="Huyện Hóc Môn", Ward!$AK$2:$AL$13, IF(J184="Huyện Nhà Bè", Ward!$AM$2:$AN$8, IF(J184="Quận Phú Nhuận", Ward!$AO$2:$AP$16, IF(J184="Quận Tân Bình", Ward!$AQ$2:$AR$16, IF(J184="Quận Tân Phú", Ward!$AS$2:$AT$12, IF(J184="Quận Thủ Đức", Ward!$AU$2:$AV$13)))))))))))))))))))))))), 2, FALSE), "")</f>
        <v/>
      </c>
      <c r="Y184" s="20" t="str">
        <f>IF(B184 &lt;&gt; "", VLOOKUP(B184, HospitalType!$A$2:$B$9, 2, FALSE), "")</f>
        <v/>
      </c>
    </row>
    <row r="185" spans="1:25" x14ac:dyDescent="0.25">
      <c r="A185" s="34"/>
      <c r="B185" s="24"/>
      <c r="C185" s="24"/>
      <c r="D185" s="24"/>
      <c r="E185" s="24"/>
      <c r="F185" s="24"/>
      <c r="G185" s="25"/>
      <c r="H185" s="25"/>
      <c r="I185" s="25"/>
      <c r="J185" s="25"/>
      <c r="K185" s="25"/>
      <c r="L185" s="25"/>
      <c r="M185" s="25"/>
      <c r="N185" s="25"/>
      <c r="O185" s="25"/>
      <c r="P185" s="25"/>
      <c r="Q185" s="24"/>
      <c r="R185" s="26"/>
      <c r="S185" s="26"/>
      <c r="T185" s="26"/>
      <c r="U185" s="27"/>
      <c r="V185" s="20" t="str">
        <f>IF(I185 &lt;&gt; "", VLOOKUP(I185, City!$A$1:$B$2, 2, FALSE), "" )</f>
        <v/>
      </c>
      <c r="W185" s="20" t="str">
        <f>IF(J185 &lt;&gt; "", VLOOKUP(J185, District!$A$1:$B$25, 2, FALSE), "")</f>
        <v/>
      </c>
      <c r="X185" s="21" t="str">
        <f>IF(K185 &lt;&gt; "", VLOOKUP(K185, IF(J185="Quận 1", Ward!$A$2:$B$11, IF(J185="Quận 2", Ward!$C$2:$D$12, IF(J185="Quận 3", Ward!$E$2:$F$15, IF(J185="Quận 4", Ward!$G$2:$H$16, IF(J185="Quận 5", Ward!$I$2:$J$16, IF(J185="Quận 6", Ward!$K$2:$L$15, IF(J185="Quận 7", Ward!$M$2:$N$11, IF(J185="Quận 8", Ward!$O$2:$P$17, IF(J185="Quận 9", Ward!$Q$2:$R$14, IF(J185="Quận 10", Ward!$S$2:$T$16, IF(J185="Quận 11", Ward!$U$2:$V$17, IF(J185="Quận 12", Ward!$W$2:$X$12, IF(J185="Huyện Bình Chánh", Ward!$Y$2:$Z$17, IF(J185="Quận Bình Tân", Ward!$AA$2:$AB$11, IF(J185="Quận Bình Thạnh", Ward!$AC$2:$AD$21, IF(J185="Huyện Cần Giờ", Ward!$AE$2:$AF$8, IF(J185="Huyện Củ Chi", Ward!$AG$2:$AH$22, IF(J185="Quận Gò Vấp", Ward!$AI$2:$AJ$17, IF(J185="Huyện Hóc Môn", Ward!$AK$2:$AL$13, IF(J185="Huyện Nhà Bè", Ward!$AM$2:$AN$8, IF(J185="Quận Phú Nhuận", Ward!$AO$2:$AP$16, IF(J185="Quận Tân Bình", Ward!$AQ$2:$AR$16, IF(J185="Quận Tân Phú", Ward!$AS$2:$AT$12, IF(J185="Quận Thủ Đức", Ward!$AU$2:$AV$13)))))))))))))))))))))))), 2, FALSE), "")</f>
        <v/>
      </c>
      <c r="Y185" s="20" t="str">
        <f>IF(B185 &lt;&gt; "", VLOOKUP(B185, HospitalType!$A$2:$B$9, 2, FALSE), "")</f>
        <v/>
      </c>
    </row>
    <row r="186" spans="1:25" x14ac:dyDescent="0.25">
      <c r="A186" s="34"/>
      <c r="B186" s="24"/>
      <c r="C186" s="24"/>
      <c r="D186" s="24"/>
      <c r="E186" s="24"/>
      <c r="F186" s="24"/>
      <c r="G186" s="25"/>
      <c r="H186" s="25"/>
      <c r="I186" s="25"/>
      <c r="J186" s="25"/>
      <c r="K186" s="25"/>
      <c r="L186" s="25"/>
      <c r="M186" s="25"/>
      <c r="N186" s="25"/>
      <c r="O186" s="25"/>
      <c r="P186" s="25"/>
      <c r="Q186" s="24"/>
      <c r="R186" s="26"/>
      <c r="S186" s="26"/>
      <c r="T186" s="26"/>
      <c r="U186" s="27"/>
      <c r="V186" s="20" t="str">
        <f>IF(I186 &lt;&gt; "", VLOOKUP(I186, City!$A$1:$B$2, 2, FALSE), "" )</f>
        <v/>
      </c>
      <c r="W186" s="20" t="str">
        <f>IF(J186 &lt;&gt; "", VLOOKUP(J186, District!$A$1:$B$25, 2, FALSE), "")</f>
        <v/>
      </c>
      <c r="X186" s="21" t="str">
        <f>IF(K186 &lt;&gt; "", VLOOKUP(K186, IF(J186="Quận 1", Ward!$A$2:$B$11, IF(J186="Quận 2", Ward!$C$2:$D$12, IF(J186="Quận 3", Ward!$E$2:$F$15, IF(J186="Quận 4", Ward!$G$2:$H$16, IF(J186="Quận 5", Ward!$I$2:$J$16, IF(J186="Quận 6", Ward!$K$2:$L$15, IF(J186="Quận 7", Ward!$M$2:$N$11, IF(J186="Quận 8", Ward!$O$2:$P$17, IF(J186="Quận 9", Ward!$Q$2:$R$14, IF(J186="Quận 10", Ward!$S$2:$T$16, IF(J186="Quận 11", Ward!$U$2:$V$17, IF(J186="Quận 12", Ward!$W$2:$X$12, IF(J186="Huyện Bình Chánh", Ward!$Y$2:$Z$17, IF(J186="Quận Bình Tân", Ward!$AA$2:$AB$11, IF(J186="Quận Bình Thạnh", Ward!$AC$2:$AD$21, IF(J186="Huyện Cần Giờ", Ward!$AE$2:$AF$8, IF(J186="Huyện Củ Chi", Ward!$AG$2:$AH$22, IF(J186="Quận Gò Vấp", Ward!$AI$2:$AJ$17, IF(J186="Huyện Hóc Môn", Ward!$AK$2:$AL$13, IF(J186="Huyện Nhà Bè", Ward!$AM$2:$AN$8, IF(J186="Quận Phú Nhuận", Ward!$AO$2:$AP$16, IF(J186="Quận Tân Bình", Ward!$AQ$2:$AR$16, IF(J186="Quận Tân Phú", Ward!$AS$2:$AT$12, IF(J186="Quận Thủ Đức", Ward!$AU$2:$AV$13)))))))))))))))))))))))), 2, FALSE), "")</f>
        <v/>
      </c>
      <c r="Y186" s="20" t="str">
        <f>IF(B186 &lt;&gt; "", VLOOKUP(B186, HospitalType!$A$2:$B$9, 2, FALSE), "")</f>
        <v/>
      </c>
    </row>
    <row r="187" spans="1:25" x14ac:dyDescent="0.25">
      <c r="A187" s="34"/>
      <c r="B187" s="24"/>
      <c r="C187" s="24"/>
      <c r="D187" s="24"/>
      <c r="E187" s="24"/>
      <c r="F187" s="24"/>
      <c r="G187" s="25"/>
      <c r="H187" s="25"/>
      <c r="I187" s="25"/>
      <c r="J187" s="25"/>
      <c r="K187" s="25"/>
      <c r="L187" s="25"/>
      <c r="M187" s="25"/>
      <c r="N187" s="25"/>
      <c r="O187" s="25"/>
      <c r="P187" s="25"/>
      <c r="Q187" s="24"/>
      <c r="R187" s="26"/>
      <c r="S187" s="26"/>
      <c r="T187" s="26"/>
      <c r="U187" s="27"/>
      <c r="V187" s="20" t="str">
        <f>IF(I187 &lt;&gt; "", VLOOKUP(I187, City!$A$1:$B$2, 2, FALSE), "" )</f>
        <v/>
      </c>
      <c r="W187" s="20" t="str">
        <f>IF(J187 &lt;&gt; "", VLOOKUP(J187, District!$A$1:$B$25, 2, FALSE), "")</f>
        <v/>
      </c>
      <c r="X187" s="21" t="str">
        <f>IF(K187 &lt;&gt; "", VLOOKUP(K187, IF(J187="Quận 1", Ward!$A$2:$B$11, IF(J187="Quận 2", Ward!$C$2:$D$12, IF(J187="Quận 3", Ward!$E$2:$F$15, IF(J187="Quận 4", Ward!$G$2:$H$16, IF(J187="Quận 5", Ward!$I$2:$J$16, IF(J187="Quận 6", Ward!$K$2:$L$15, IF(J187="Quận 7", Ward!$M$2:$N$11, IF(J187="Quận 8", Ward!$O$2:$P$17, IF(J187="Quận 9", Ward!$Q$2:$R$14, IF(J187="Quận 10", Ward!$S$2:$T$16, IF(J187="Quận 11", Ward!$U$2:$V$17, IF(J187="Quận 12", Ward!$W$2:$X$12, IF(J187="Huyện Bình Chánh", Ward!$Y$2:$Z$17, IF(J187="Quận Bình Tân", Ward!$AA$2:$AB$11, IF(J187="Quận Bình Thạnh", Ward!$AC$2:$AD$21, IF(J187="Huyện Cần Giờ", Ward!$AE$2:$AF$8, IF(J187="Huyện Củ Chi", Ward!$AG$2:$AH$22, IF(J187="Quận Gò Vấp", Ward!$AI$2:$AJ$17, IF(J187="Huyện Hóc Môn", Ward!$AK$2:$AL$13, IF(J187="Huyện Nhà Bè", Ward!$AM$2:$AN$8, IF(J187="Quận Phú Nhuận", Ward!$AO$2:$AP$16, IF(J187="Quận Tân Bình", Ward!$AQ$2:$AR$16, IF(J187="Quận Tân Phú", Ward!$AS$2:$AT$12, IF(J187="Quận Thủ Đức", Ward!$AU$2:$AV$13)))))))))))))))))))))))), 2, FALSE), "")</f>
        <v/>
      </c>
      <c r="Y187" s="20" t="str">
        <f>IF(B187 &lt;&gt; "", VLOOKUP(B187, HospitalType!$A$2:$B$9, 2, FALSE), "")</f>
        <v/>
      </c>
    </row>
    <row r="188" spans="1:25" x14ac:dyDescent="0.25">
      <c r="A188" s="34"/>
      <c r="B188" s="24"/>
      <c r="C188" s="24"/>
      <c r="D188" s="24"/>
      <c r="E188" s="24"/>
      <c r="F188" s="24"/>
      <c r="G188" s="25"/>
      <c r="H188" s="25"/>
      <c r="I188" s="25"/>
      <c r="J188" s="25"/>
      <c r="K188" s="25"/>
      <c r="L188" s="25"/>
      <c r="M188" s="25"/>
      <c r="N188" s="25"/>
      <c r="O188" s="25"/>
      <c r="P188" s="25"/>
      <c r="Q188" s="24"/>
      <c r="R188" s="26"/>
      <c r="S188" s="26"/>
      <c r="T188" s="26"/>
      <c r="U188" s="27"/>
      <c r="V188" s="20" t="str">
        <f>IF(I188 &lt;&gt; "", VLOOKUP(I188, City!$A$1:$B$2, 2, FALSE), "" )</f>
        <v/>
      </c>
      <c r="W188" s="20" t="str">
        <f>IF(J188 &lt;&gt; "", VLOOKUP(J188, District!$A$1:$B$25, 2, FALSE), "")</f>
        <v/>
      </c>
      <c r="X188" s="21" t="str">
        <f>IF(K188 &lt;&gt; "", VLOOKUP(K188, IF(J188="Quận 1", Ward!$A$2:$B$11, IF(J188="Quận 2", Ward!$C$2:$D$12, IF(J188="Quận 3", Ward!$E$2:$F$15, IF(J188="Quận 4", Ward!$G$2:$H$16, IF(J188="Quận 5", Ward!$I$2:$J$16, IF(J188="Quận 6", Ward!$K$2:$L$15, IF(J188="Quận 7", Ward!$M$2:$N$11, IF(J188="Quận 8", Ward!$O$2:$P$17, IF(J188="Quận 9", Ward!$Q$2:$R$14, IF(J188="Quận 10", Ward!$S$2:$T$16, IF(J188="Quận 11", Ward!$U$2:$V$17, IF(J188="Quận 12", Ward!$W$2:$X$12, IF(J188="Huyện Bình Chánh", Ward!$Y$2:$Z$17, IF(J188="Quận Bình Tân", Ward!$AA$2:$AB$11, IF(J188="Quận Bình Thạnh", Ward!$AC$2:$AD$21, IF(J188="Huyện Cần Giờ", Ward!$AE$2:$AF$8, IF(J188="Huyện Củ Chi", Ward!$AG$2:$AH$22, IF(J188="Quận Gò Vấp", Ward!$AI$2:$AJ$17, IF(J188="Huyện Hóc Môn", Ward!$AK$2:$AL$13, IF(J188="Huyện Nhà Bè", Ward!$AM$2:$AN$8, IF(J188="Quận Phú Nhuận", Ward!$AO$2:$AP$16, IF(J188="Quận Tân Bình", Ward!$AQ$2:$AR$16, IF(J188="Quận Tân Phú", Ward!$AS$2:$AT$12, IF(J188="Quận Thủ Đức", Ward!$AU$2:$AV$13)))))))))))))))))))))))), 2, FALSE), "")</f>
        <v/>
      </c>
      <c r="Y188" s="20" t="str">
        <f>IF(B188 &lt;&gt; "", VLOOKUP(B188, HospitalType!$A$2:$B$9, 2, FALSE), "")</f>
        <v/>
      </c>
    </row>
    <row r="189" spans="1:25" x14ac:dyDescent="0.25">
      <c r="A189" s="34"/>
      <c r="B189" s="24"/>
      <c r="C189" s="24"/>
      <c r="D189" s="24"/>
      <c r="E189" s="24"/>
      <c r="F189" s="24"/>
      <c r="G189" s="25"/>
      <c r="H189" s="25"/>
      <c r="I189" s="25"/>
      <c r="J189" s="25"/>
      <c r="K189" s="25"/>
      <c r="L189" s="25"/>
      <c r="M189" s="25"/>
      <c r="N189" s="25"/>
      <c r="O189" s="25"/>
      <c r="P189" s="25"/>
      <c r="Q189" s="24"/>
      <c r="R189" s="26"/>
      <c r="S189" s="26"/>
      <c r="T189" s="26"/>
      <c r="U189" s="27"/>
      <c r="V189" s="20" t="str">
        <f>IF(I189 &lt;&gt; "", VLOOKUP(I189, City!$A$1:$B$2, 2, FALSE), "" )</f>
        <v/>
      </c>
      <c r="W189" s="20" t="str">
        <f>IF(J189 &lt;&gt; "", VLOOKUP(J189, District!$A$1:$B$25, 2, FALSE), "")</f>
        <v/>
      </c>
      <c r="X189" s="21" t="str">
        <f>IF(K189 &lt;&gt; "", VLOOKUP(K189, IF(J189="Quận 1", Ward!$A$2:$B$11, IF(J189="Quận 2", Ward!$C$2:$D$12, IF(J189="Quận 3", Ward!$E$2:$F$15, IF(J189="Quận 4", Ward!$G$2:$H$16, IF(J189="Quận 5", Ward!$I$2:$J$16, IF(J189="Quận 6", Ward!$K$2:$L$15, IF(J189="Quận 7", Ward!$M$2:$N$11, IF(J189="Quận 8", Ward!$O$2:$P$17, IF(J189="Quận 9", Ward!$Q$2:$R$14, IF(J189="Quận 10", Ward!$S$2:$T$16, IF(J189="Quận 11", Ward!$U$2:$V$17, IF(J189="Quận 12", Ward!$W$2:$X$12, IF(J189="Huyện Bình Chánh", Ward!$Y$2:$Z$17, IF(J189="Quận Bình Tân", Ward!$AA$2:$AB$11, IF(J189="Quận Bình Thạnh", Ward!$AC$2:$AD$21, IF(J189="Huyện Cần Giờ", Ward!$AE$2:$AF$8, IF(J189="Huyện Củ Chi", Ward!$AG$2:$AH$22, IF(J189="Quận Gò Vấp", Ward!$AI$2:$AJ$17, IF(J189="Huyện Hóc Môn", Ward!$AK$2:$AL$13, IF(J189="Huyện Nhà Bè", Ward!$AM$2:$AN$8, IF(J189="Quận Phú Nhuận", Ward!$AO$2:$AP$16, IF(J189="Quận Tân Bình", Ward!$AQ$2:$AR$16, IF(J189="Quận Tân Phú", Ward!$AS$2:$AT$12, IF(J189="Quận Thủ Đức", Ward!$AU$2:$AV$13)))))))))))))))))))))))), 2, FALSE), "")</f>
        <v/>
      </c>
      <c r="Y189" s="20" t="str">
        <f>IF(B189 &lt;&gt; "", VLOOKUP(B189, HospitalType!$A$2:$B$9, 2, FALSE), "")</f>
        <v/>
      </c>
    </row>
    <row r="190" spans="1:25" x14ac:dyDescent="0.25">
      <c r="A190" s="34"/>
      <c r="B190" s="24"/>
      <c r="C190" s="24"/>
      <c r="D190" s="24"/>
      <c r="E190" s="24"/>
      <c r="F190" s="24"/>
      <c r="G190" s="25"/>
      <c r="H190" s="25"/>
      <c r="I190" s="25"/>
      <c r="J190" s="25"/>
      <c r="K190" s="25"/>
      <c r="L190" s="25"/>
      <c r="M190" s="25"/>
      <c r="N190" s="25"/>
      <c r="O190" s="25"/>
      <c r="P190" s="25"/>
      <c r="Q190" s="24"/>
      <c r="R190" s="26"/>
      <c r="S190" s="26"/>
      <c r="T190" s="26"/>
      <c r="U190" s="27"/>
      <c r="V190" s="20" t="str">
        <f>IF(I190 &lt;&gt; "", VLOOKUP(I190, City!$A$1:$B$2, 2, FALSE), "" )</f>
        <v/>
      </c>
      <c r="W190" s="20" t="str">
        <f>IF(J190 &lt;&gt; "", VLOOKUP(J190, District!$A$1:$B$25, 2, FALSE), "")</f>
        <v/>
      </c>
      <c r="X190" s="21" t="str">
        <f>IF(K190 &lt;&gt; "", VLOOKUP(K190, IF(J190="Quận 1", Ward!$A$2:$B$11, IF(J190="Quận 2", Ward!$C$2:$D$12, IF(J190="Quận 3", Ward!$E$2:$F$15, IF(J190="Quận 4", Ward!$G$2:$H$16, IF(J190="Quận 5", Ward!$I$2:$J$16, IF(J190="Quận 6", Ward!$K$2:$L$15, IF(J190="Quận 7", Ward!$M$2:$N$11, IF(J190="Quận 8", Ward!$O$2:$P$17, IF(J190="Quận 9", Ward!$Q$2:$R$14, IF(J190="Quận 10", Ward!$S$2:$T$16, IF(J190="Quận 11", Ward!$U$2:$V$17, IF(J190="Quận 12", Ward!$W$2:$X$12, IF(J190="Huyện Bình Chánh", Ward!$Y$2:$Z$17, IF(J190="Quận Bình Tân", Ward!$AA$2:$AB$11, IF(J190="Quận Bình Thạnh", Ward!$AC$2:$AD$21, IF(J190="Huyện Cần Giờ", Ward!$AE$2:$AF$8, IF(J190="Huyện Củ Chi", Ward!$AG$2:$AH$22, IF(J190="Quận Gò Vấp", Ward!$AI$2:$AJ$17, IF(J190="Huyện Hóc Môn", Ward!$AK$2:$AL$13, IF(J190="Huyện Nhà Bè", Ward!$AM$2:$AN$8, IF(J190="Quận Phú Nhuận", Ward!$AO$2:$AP$16, IF(J190="Quận Tân Bình", Ward!$AQ$2:$AR$16, IF(J190="Quận Tân Phú", Ward!$AS$2:$AT$12, IF(J190="Quận Thủ Đức", Ward!$AU$2:$AV$13)))))))))))))))))))))))), 2, FALSE), "")</f>
        <v/>
      </c>
      <c r="Y190" s="20" t="str">
        <f>IF(B190 &lt;&gt; "", VLOOKUP(B190, HospitalType!$A$2:$B$9, 2, FALSE), "")</f>
        <v/>
      </c>
    </row>
    <row r="191" spans="1:25" x14ac:dyDescent="0.25">
      <c r="A191" s="34"/>
      <c r="B191" s="24"/>
      <c r="C191" s="24"/>
      <c r="D191" s="24"/>
      <c r="E191" s="24"/>
      <c r="F191" s="24"/>
      <c r="G191" s="25"/>
      <c r="H191" s="25"/>
      <c r="I191" s="25"/>
      <c r="J191" s="25"/>
      <c r="K191" s="25"/>
      <c r="L191" s="25"/>
      <c r="M191" s="25"/>
      <c r="N191" s="25"/>
      <c r="O191" s="25"/>
      <c r="P191" s="25"/>
      <c r="Q191" s="24"/>
      <c r="R191" s="26"/>
      <c r="S191" s="26"/>
      <c r="T191" s="26"/>
      <c r="U191" s="27"/>
      <c r="V191" s="20" t="str">
        <f>IF(I191 &lt;&gt; "", VLOOKUP(I191, City!$A$1:$B$2, 2, FALSE), "" )</f>
        <v/>
      </c>
      <c r="W191" s="20" t="str">
        <f>IF(J191 &lt;&gt; "", VLOOKUP(J191, District!$A$1:$B$25, 2, FALSE), "")</f>
        <v/>
      </c>
      <c r="X191" s="21" t="str">
        <f>IF(K191 &lt;&gt; "", VLOOKUP(K191, IF(J191="Quận 1", Ward!$A$2:$B$11, IF(J191="Quận 2", Ward!$C$2:$D$12, IF(J191="Quận 3", Ward!$E$2:$F$15, IF(J191="Quận 4", Ward!$G$2:$H$16, IF(J191="Quận 5", Ward!$I$2:$J$16, IF(J191="Quận 6", Ward!$K$2:$L$15, IF(J191="Quận 7", Ward!$M$2:$N$11, IF(J191="Quận 8", Ward!$O$2:$P$17, IF(J191="Quận 9", Ward!$Q$2:$R$14, IF(J191="Quận 10", Ward!$S$2:$T$16, IF(J191="Quận 11", Ward!$U$2:$V$17, IF(J191="Quận 12", Ward!$W$2:$X$12, IF(J191="Huyện Bình Chánh", Ward!$Y$2:$Z$17, IF(J191="Quận Bình Tân", Ward!$AA$2:$AB$11, IF(J191="Quận Bình Thạnh", Ward!$AC$2:$AD$21, IF(J191="Huyện Cần Giờ", Ward!$AE$2:$AF$8, IF(J191="Huyện Củ Chi", Ward!$AG$2:$AH$22, IF(J191="Quận Gò Vấp", Ward!$AI$2:$AJ$17, IF(J191="Huyện Hóc Môn", Ward!$AK$2:$AL$13, IF(J191="Huyện Nhà Bè", Ward!$AM$2:$AN$8, IF(J191="Quận Phú Nhuận", Ward!$AO$2:$AP$16, IF(J191="Quận Tân Bình", Ward!$AQ$2:$AR$16, IF(J191="Quận Tân Phú", Ward!$AS$2:$AT$12, IF(J191="Quận Thủ Đức", Ward!$AU$2:$AV$13)))))))))))))))))))))))), 2, FALSE), "")</f>
        <v/>
      </c>
      <c r="Y191" s="20" t="str">
        <f>IF(B191 &lt;&gt; "", VLOOKUP(B191, HospitalType!$A$2:$B$9, 2, FALSE), "")</f>
        <v/>
      </c>
    </row>
    <row r="192" spans="1:25" x14ac:dyDescent="0.25">
      <c r="A192" s="34"/>
      <c r="B192" s="24"/>
      <c r="C192" s="24"/>
      <c r="D192" s="24"/>
      <c r="E192" s="24"/>
      <c r="F192" s="24"/>
      <c r="G192" s="25"/>
      <c r="H192" s="25"/>
      <c r="I192" s="25"/>
      <c r="J192" s="25"/>
      <c r="K192" s="25"/>
      <c r="L192" s="25"/>
      <c r="M192" s="25"/>
      <c r="N192" s="25"/>
      <c r="O192" s="25"/>
      <c r="P192" s="25"/>
      <c r="Q192" s="24"/>
      <c r="R192" s="26"/>
      <c r="S192" s="26"/>
      <c r="T192" s="26"/>
      <c r="U192" s="27"/>
      <c r="V192" s="20" t="str">
        <f>IF(I192 &lt;&gt; "", VLOOKUP(I192, City!$A$1:$B$2, 2, FALSE), "" )</f>
        <v/>
      </c>
      <c r="W192" s="20" t="str">
        <f>IF(J192 &lt;&gt; "", VLOOKUP(J192, District!$A$1:$B$25, 2, FALSE), "")</f>
        <v/>
      </c>
      <c r="X192" s="21" t="str">
        <f>IF(K192 &lt;&gt; "", VLOOKUP(K192, IF(J192="Quận 1", Ward!$A$2:$B$11, IF(J192="Quận 2", Ward!$C$2:$D$12, IF(J192="Quận 3", Ward!$E$2:$F$15, IF(J192="Quận 4", Ward!$G$2:$H$16, IF(J192="Quận 5", Ward!$I$2:$J$16, IF(J192="Quận 6", Ward!$K$2:$L$15, IF(J192="Quận 7", Ward!$M$2:$N$11, IF(J192="Quận 8", Ward!$O$2:$P$17, IF(J192="Quận 9", Ward!$Q$2:$R$14, IF(J192="Quận 10", Ward!$S$2:$T$16, IF(J192="Quận 11", Ward!$U$2:$V$17, IF(J192="Quận 12", Ward!$W$2:$X$12, IF(J192="Huyện Bình Chánh", Ward!$Y$2:$Z$17, IF(J192="Quận Bình Tân", Ward!$AA$2:$AB$11, IF(J192="Quận Bình Thạnh", Ward!$AC$2:$AD$21, IF(J192="Huyện Cần Giờ", Ward!$AE$2:$AF$8, IF(J192="Huyện Củ Chi", Ward!$AG$2:$AH$22, IF(J192="Quận Gò Vấp", Ward!$AI$2:$AJ$17, IF(J192="Huyện Hóc Môn", Ward!$AK$2:$AL$13, IF(J192="Huyện Nhà Bè", Ward!$AM$2:$AN$8, IF(J192="Quận Phú Nhuận", Ward!$AO$2:$AP$16, IF(J192="Quận Tân Bình", Ward!$AQ$2:$AR$16, IF(J192="Quận Tân Phú", Ward!$AS$2:$AT$12, IF(J192="Quận Thủ Đức", Ward!$AU$2:$AV$13)))))))))))))))))))))))), 2, FALSE), "")</f>
        <v/>
      </c>
      <c r="Y192" s="20" t="str">
        <f>IF(B192 &lt;&gt; "", VLOOKUP(B192, HospitalType!$A$2:$B$9, 2, FALSE), "")</f>
        <v/>
      </c>
    </row>
    <row r="193" spans="1:25" x14ac:dyDescent="0.25">
      <c r="A193" s="34"/>
      <c r="B193" s="24"/>
      <c r="C193" s="24"/>
      <c r="D193" s="24"/>
      <c r="E193" s="24"/>
      <c r="F193" s="24"/>
      <c r="G193" s="25"/>
      <c r="H193" s="25"/>
      <c r="I193" s="25"/>
      <c r="J193" s="25"/>
      <c r="K193" s="25"/>
      <c r="L193" s="25"/>
      <c r="M193" s="25"/>
      <c r="N193" s="25"/>
      <c r="O193" s="25"/>
      <c r="P193" s="25"/>
      <c r="Q193" s="24"/>
      <c r="R193" s="26"/>
      <c r="S193" s="26"/>
      <c r="T193" s="26"/>
      <c r="U193" s="27"/>
      <c r="V193" s="20" t="str">
        <f>IF(I193 &lt;&gt; "", VLOOKUP(I193, City!$A$1:$B$2, 2, FALSE), "" )</f>
        <v/>
      </c>
      <c r="W193" s="20" t="str">
        <f>IF(J193 &lt;&gt; "", VLOOKUP(J193, District!$A$1:$B$25, 2, FALSE), "")</f>
        <v/>
      </c>
      <c r="X193" s="21" t="str">
        <f>IF(K193 &lt;&gt; "", VLOOKUP(K193, IF(J193="Quận 1", Ward!$A$2:$B$11, IF(J193="Quận 2", Ward!$C$2:$D$12, IF(J193="Quận 3", Ward!$E$2:$F$15, IF(J193="Quận 4", Ward!$G$2:$H$16, IF(J193="Quận 5", Ward!$I$2:$J$16, IF(J193="Quận 6", Ward!$K$2:$L$15, IF(J193="Quận 7", Ward!$M$2:$N$11, IF(J193="Quận 8", Ward!$O$2:$P$17, IF(J193="Quận 9", Ward!$Q$2:$R$14, IF(J193="Quận 10", Ward!$S$2:$T$16, IF(J193="Quận 11", Ward!$U$2:$V$17, IF(J193="Quận 12", Ward!$W$2:$X$12, IF(J193="Huyện Bình Chánh", Ward!$Y$2:$Z$17, IF(J193="Quận Bình Tân", Ward!$AA$2:$AB$11, IF(J193="Quận Bình Thạnh", Ward!$AC$2:$AD$21, IF(J193="Huyện Cần Giờ", Ward!$AE$2:$AF$8, IF(J193="Huyện Củ Chi", Ward!$AG$2:$AH$22, IF(J193="Quận Gò Vấp", Ward!$AI$2:$AJ$17, IF(J193="Huyện Hóc Môn", Ward!$AK$2:$AL$13, IF(J193="Huyện Nhà Bè", Ward!$AM$2:$AN$8, IF(J193="Quận Phú Nhuận", Ward!$AO$2:$AP$16, IF(J193="Quận Tân Bình", Ward!$AQ$2:$AR$16, IF(J193="Quận Tân Phú", Ward!$AS$2:$AT$12, IF(J193="Quận Thủ Đức", Ward!$AU$2:$AV$13)))))))))))))))))))))))), 2, FALSE), "")</f>
        <v/>
      </c>
      <c r="Y193" s="20" t="str">
        <f>IF(B193 &lt;&gt; "", VLOOKUP(B193, HospitalType!$A$2:$B$9, 2, FALSE), "")</f>
        <v/>
      </c>
    </row>
    <row r="194" spans="1:25" x14ac:dyDescent="0.25">
      <c r="A194" s="34"/>
      <c r="B194" s="24"/>
      <c r="C194" s="24"/>
      <c r="D194" s="24"/>
      <c r="E194" s="24"/>
      <c r="F194" s="24"/>
      <c r="G194" s="25"/>
      <c r="H194" s="25"/>
      <c r="I194" s="25"/>
      <c r="J194" s="25"/>
      <c r="K194" s="25"/>
      <c r="L194" s="25"/>
      <c r="M194" s="25"/>
      <c r="N194" s="25"/>
      <c r="O194" s="25"/>
      <c r="P194" s="25"/>
      <c r="Q194" s="24"/>
      <c r="R194" s="26"/>
      <c r="S194" s="26"/>
      <c r="T194" s="26"/>
      <c r="U194" s="27"/>
      <c r="V194" s="20" t="str">
        <f>IF(I194 &lt;&gt; "", VLOOKUP(I194, City!$A$1:$B$2, 2, FALSE), "" )</f>
        <v/>
      </c>
      <c r="W194" s="20" t="str">
        <f>IF(J194 &lt;&gt; "", VLOOKUP(J194, District!$A$1:$B$25, 2, FALSE), "")</f>
        <v/>
      </c>
      <c r="X194" s="21" t="str">
        <f>IF(K194 &lt;&gt; "", VLOOKUP(K194, IF(J194="Quận 1", Ward!$A$2:$B$11, IF(J194="Quận 2", Ward!$C$2:$D$12, IF(J194="Quận 3", Ward!$E$2:$F$15, IF(J194="Quận 4", Ward!$G$2:$H$16, IF(J194="Quận 5", Ward!$I$2:$J$16, IF(J194="Quận 6", Ward!$K$2:$L$15, IF(J194="Quận 7", Ward!$M$2:$N$11, IF(J194="Quận 8", Ward!$O$2:$P$17, IF(J194="Quận 9", Ward!$Q$2:$R$14, IF(J194="Quận 10", Ward!$S$2:$T$16, IF(J194="Quận 11", Ward!$U$2:$V$17, IF(J194="Quận 12", Ward!$W$2:$X$12, IF(J194="Huyện Bình Chánh", Ward!$Y$2:$Z$17, IF(J194="Quận Bình Tân", Ward!$AA$2:$AB$11, IF(J194="Quận Bình Thạnh", Ward!$AC$2:$AD$21, IF(J194="Huyện Cần Giờ", Ward!$AE$2:$AF$8, IF(J194="Huyện Củ Chi", Ward!$AG$2:$AH$22, IF(J194="Quận Gò Vấp", Ward!$AI$2:$AJ$17, IF(J194="Huyện Hóc Môn", Ward!$AK$2:$AL$13, IF(J194="Huyện Nhà Bè", Ward!$AM$2:$AN$8, IF(J194="Quận Phú Nhuận", Ward!$AO$2:$AP$16, IF(J194="Quận Tân Bình", Ward!$AQ$2:$AR$16, IF(J194="Quận Tân Phú", Ward!$AS$2:$AT$12, IF(J194="Quận Thủ Đức", Ward!$AU$2:$AV$13)))))))))))))))))))))))), 2, FALSE), "")</f>
        <v/>
      </c>
      <c r="Y194" s="20" t="str">
        <f>IF(B194 &lt;&gt; "", VLOOKUP(B194, HospitalType!$A$2:$B$9, 2, FALSE), "")</f>
        <v/>
      </c>
    </row>
    <row r="195" spans="1:25" x14ac:dyDescent="0.25">
      <c r="A195" s="34"/>
      <c r="B195" s="24"/>
      <c r="C195" s="24"/>
      <c r="D195" s="24"/>
      <c r="E195" s="24"/>
      <c r="F195" s="24"/>
      <c r="G195" s="25"/>
      <c r="H195" s="25"/>
      <c r="I195" s="25"/>
      <c r="J195" s="25"/>
      <c r="K195" s="25"/>
      <c r="L195" s="25"/>
      <c r="M195" s="25"/>
      <c r="N195" s="25"/>
      <c r="O195" s="25"/>
      <c r="P195" s="25"/>
      <c r="Q195" s="24"/>
      <c r="R195" s="26"/>
      <c r="S195" s="26"/>
      <c r="T195" s="26"/>
      <c r="U195" s="27"/>
      <c r="V195" s="20" t="str">
        <f>IF(I195 &lt;&gt; "", VLOOKUP(I195, City!$A$1:$B$2, 2, FALSE), "" )</f>
        <v/>
      </c>
      <c r="W195" s="20" t="str">
        <f>IF(J195 &lt;&gt; "", VLOOKUP(J195, District!$A$1:$B$25, 2, FALSE), "")</f>
        <v/>
      </c>
      <c r="X195" s="21" t="str">
        <f>IF(K195 &lt;&gt; "", VLOOKUP(K195, IF(J195="Quận 1", Ward!$A$2:$B$11, IF(J195="Quận 2", Ward!$C$2:$D$12, IF(J195="Quận 3", Ward!$E$2:$F$15, IF(J195="Quận 4", Ward!$G$2:$H$16, IF(J195="Quận 5", Ward!$I$2:$J$16, IF(J195="Quận 6", Ward!$K$2:$L$15, IF(J195="Quận 7", Ward!$M$2:$N$11, IF(J195="Quận 8", Ward!$O$2:$P$17, IF(J195="Quận 9", Ward!$Q$2:$R$14, IF(J195="Quận 10", Ward!$S$2:$T$16, IF(J195="Quận 11", Ward!$U$2:$V$17, IF(J195="Quận 12", Ward!$W$2:$X$12, IF(J195="Huyện Bình Chánh", Ward!$Y$2:$Z$17, IF(J195="Quận Bình Tân", Ward!$AA$2:$AB$11, IF(J195="Quận Bình Thạnh", Ward!$AC$2:$AD$21, IF(J195="Huyện Cần Giờ", Ward!$AE$2:$AF$8, IF(J195="Huyện Củ Chi", Ward!$AG$2:$AH$22, IF(J195="Quận Gò Vấp", Ward!$AI$2:$AJ$17, IF(J195="Huyện Hóc Môn", Ward!$AK$2:$AL$13, IF(J195="Huyện Nhà Bè", Ward!$AM$2:$AN$8, IF(J195="Quận Phú Nhuận", Ward!$AO$2:$AP$16, IF(J195="Quận Tân Bình", Ward!$AQ$2:$AR$16, IF(J195="Quận Tân Phú", Ward!$AS$2:$AT$12, IF(J195="Quận Thủ Đức", Ward!$AU$2:$AV$13)))))))))))))))))))))))), 2, FALSE), "")</f>
        <v/>
      </c>
      <c r="Y195" s="20" t="str">
        <f>IF(B195 &lt;&gt; "", VLOOKUP(B195, HospitalType!$A$2:$B$9, 2, FALSE), "")</f>
        <v/>
      </c>
    </row>
    <row r="196" spans="1:25" x14ac:dyDescent="0.25">
      <c r="A196" s="34"/>
      <c r="B196" s="24"/>
      <c r="C196" s="24"/>
      <c r="D196" s="24"/>
      <c r="E196" s="24"/>
      <c r="F196" s="24"/>
      <c r="G196" s="25"/>
      <c r="H196" s="25"/>
      <c r="I196" s="25"/>
      <c r="J196" s="25"/>
      <c r="K196" s="25"/>
      <c r="L196" s="25"/>
      <c r="M196" s="25"/>
      <c r="N196" s="25"/>
      <c r="O196" s="25"/>
      <c r="P196" s="25"/>
      <c r="Q196" s="24"/>
      <c r="R196" s="26"/>
      <c r="S196" s="26"/>
      <c r="T196" s="26"/>
      <c r="U196" s="27"/>
      <c r="V196" s="20" t="str">
        <f>IF(I196 &lt;&gt; "", VLOOKUP(I196, City!$A$1:$B$2, 2, FALSE), "" )</f>
        <v/>
      </c>
      <c r="W196" s="20" t="str">
        <f>IF(J196 &lt;&gt; "", VLOOKUP(J196, District!$A$1:$B$25, 2, FALSE), "")</f>
        <v/>
      </c>
      <c r="X196" s="21" t="str">
        <f>IF(K196 &lt;&gt; "", VLOOKUP(K196, IF(J196="Quận 1", Ward!$A$2:$B$11, IF(J196="Quận 2", Ward!$C$2:$D$12, IF(J196="Quận 3", Ward!$E$2:$F$15, IF(J196="Quận 4", Ward!$G$2:$H$16, IF(J196="Quận 5", Ward!$I$2:$J$16, IF(J196="Quận 6", Ward!$K$2:$L$15, IF(J196="Quận 7", Ward!$M$2:$N$11, IF(J196="Quận 8", Ward!$O$2:$P$17, IF(J196="Quận 9", Ward!$Q$2:$R$14, IF(J196="Quận 10", Ward!$S$2:$T$16, IF(J196="Quận 11", Ward!$U$2:$V$17, IF(J196="Quận 12", Ward!$W$2:$X$12, IF(J196="Huyện Bình Chánh", Ward!$Y$2:$Z$17, IF(J196="Quận Bình Tân", Ward!$AA$2:$AB$11, IF(J196="Quận Bình Thạnh", Ward!$AC$2:$AD$21, IF(J196="Huyện Cần Giờ", Ward!$AE$2:$AF$8, IF(J196="Huyện Củ Chi", Ward!$AG$2:$AH$22, IF(J196="Quận Gò Vấp", Ward!$AI$2:$AJ$17, IF(J196="Huyện Hóc Môn", Ward!$AK$2:$AL$13, IF(J196="Huyện Nhà Bè", Ward!$AM$2:$AN$8, IF(J196="Quận Phú Nhuận", Ward!$AO$2:$AP$16, IF(J196="Quận Tân Bình", Ward!$AQ$2:$AR$16, IF(J196="Quận Tân Phú", Ward!$AS$2:$AT$12, IF(J196="Quận Thủ Đức", Ward!$AU$2:$AV$13)))))))))))))))))))))))), 2, FALSE), "")</f>
        <v/>
      </c>
      <c r="Y196" s="20" t="str">
        <f>IF(B196 &lt;&gt; "", VLOOKUP(B196, HospitalType!$A$2:$B$9, 2, FALSE), "")</f>
        <v/>
      </c>
    </row>
    <row r="197" spans="1:25" x14ac:dyDescent="0.25">
      <c r="A197" s="34"/>
      <c r="B197" s="24"/>
      <c r="C197" s="24"/>
      <c r="D197" s="24"/>
      <c r="E197" s="24"/>
      <c r="F197" s="24"/>
      <c r="G197" s="25"/>
      <c r="H197" s="25"/>
      <c r="I197" s="25"/>
      <c r="J197" s="25"/>
      <c r="K197" s="25"/>
      <c r="L197" s="25"/>
      <c r="M197" s="25"/>
      <c r="N197" s="25"/>
      <c r="O197" s="25"/>
      <c r="P197" s="25"/>
      <c r="Q197" s="24"/>
      <c r="R197" s="26"/>
      <c r="S197" s="26"/>
      <c r="T197" s="26"/>
      <c r="U197" s="27"/>
      <c r="V197" s="20" t="str">
        <f>IF(I197 &lt;&gt; "", VLOOKUP(I197, City!$A$1:$B$2, 2, FALSE), "" )</f>
        <v/>
      </c>
      <c r="W197" s="20" t="str">
        <f>IF(J197 &lt;&gt; "", VLOOKUP(J197, District!$A$1:$B$25, 2, FALSE), "")</f>
        <v/>
      </c>
      <c r="X197" s="21" t="str">
        <f>IF(K197 &lt;&gt; "", VLOOKUP(K197, IF(J197="Quận 1", Ward!$A$2:$B$11, IF(J197="Quận 2", Ward!$C$2:$D$12, IF(J197="Quận 3", Ward!$E$2:$F$15, IF(J197="Quận 4", Ward!$G$2:$H$16, IF(J197="Quận 5", Ward!$I$2:$J$16, IF(J197="Quận 6", Ward!$K$2:$L$15, IF(J197="Quận 7", Ward!$M$2:$N$11, IF(J197="Quận 8", Ward!$O$2:$P$17, IF(J197="Quận 9", Ward!$Q$2:$R$14, IF(J197="Quận 10", Ward!$S$2:$T$16, IF(J197="Quận 11", Ward!$U$2:$V$17, IF(J197="Quận 12", Ward!$W$2:$X$12, IF(J197="Huyện Bình Chánh", Ward!$Y$2:$Z$17, IF(J197="Quận Bình Tân", Ward!$AA$2:$AB$11, IF(J197="Quận Bình Thạnh", Ward!$AC$2:$AD$21, IF(J197="Huyện Cần Giờ", Ward!$AE$2:$AF$8, IF(J197="Huyện Củ Chi", Ward!$AG$2:$AH$22, IF(J197="Quận Gò Vấp", Ward!$AI$2:$AJ$17, IF(J197="Huyện Hóc Môn", Ward!$AK$2:$AL$13, IF(J197="Huyện Nhà Bè", Ward!$AM$2:$AN$8, IF(J197="Quận Phú Nhuận", Ward!$AO$2:$AP$16, IF(J197="Quận Tân Bình", Ward!$AQ$2:$AR$16, IF(J197="Quận Tân Phú", Ward!$AS$2:$AT$12, IF(J197="Quận Thủ Đức", Ward!$AU$2:$AV$13)))))))))))))))))))))))), 2, FALSE), "")</f>
        <v/>
      </c>
      <c r="Y197" s="20" t="str">
        <f>IF(B197 &lt;&gt; "", VLOOKUP(B197, HospitalType!$A$2:$B$9, 2, FALSE), "")</f>
        <v/>
      </c>
    </row>
    <row r="198" spans="1:25" x14ac:dyDescent="0.25">
      <c r="A198" s="34"/>
      <c r="B198" s="24"/>
      <c r="C198" s="24"/>
      <c r="D198" s="24"/>
      <c r="E198" s="24"/>
      <c r="F198" s="24"/>
      <c r="G198" s="25"/>
      <c r="H198" s="25"/>
      <c r="I198" s="25"/>
      <c r="J198" s="25"/>
      <c r="K198" s="25"/>
      <c r="L198" s="25"/>
      <c r="M198" s="25"/>
      <c r="N198" s="25"/>
      <c r="O198" s="25"/>
      <c r="P198" s="25"/>
      <c r="Q198" s="24"/>
      <c r="R198" s="26"/>
      <c r="S198" s="26"/>
      <c r="T198" s="26"/>
      <c r="U198" s="27"/>
      <c r="V198" s="20" t="str">
        <f>IF(I198 &lt;&gt; "", VLOOKUP(I198, City!$A$1:$B$2, 2, FALSE), "" )</f>
        <v/>
      </c>
      <c r="W198" s="20" t="str">
        <f>IF(J198 &lt;&gt; "", VLOOKUP(J198, District!$A$1:$B$25, 2, FALSE), "")</f>
        <v/>
      </c>
      <c r="X198" s="21" t="str">
        <f>IF(K198 &lt;&gt; "", VLOOKUP(K198, IF(J198="Quận 1", Ward!$A$2:$B$11, IF(J198="Quận 2", Ward!$C$2:$D$12, IF(J198="Quận 3", Ward!$E$2:$F$15, IF(J198="Quận 4", Ward!$G$2:$H$16, IF(J198="Quận 5", Ward!$I$2:$J$16, IF(J198="Quận 6", Ward!$K$2:$L$15, IF(J198="Quận 7", Ward!$M$2:$N$11, IF(J198="Quận 8", Ward!$O$2:$P$17, IF(J198="Quận 9", Ward!$Q$2:$R$14, IF(J198="Quận 10", Ward!$S$2:$T$16, IF(J198="Quận 11", Ward!$U$2:$V$17, IF(J198="Quận 12", Ward!$W$2:$X$12, IF(J198="Huyện Bình Chánh", Ward!$Y$2:$Z$17, IF(J198="Quận Bình Tân", Ward!$AA$2:$AB$11, IF(J198="Quận Bình Thạnh", Ward!$AC$2:$AD$21, IF(J198="Huyện Cần Giờ", Ward!$AE$2:$AF$8, IF(J198="Huyện Củ Chi", Ward!$AG$2:$AH$22, IF(J198="Quận Gò Vấp", Ward!$AI$2:$AJ$17, IF(J198="Huyện Hóc Môn", Ward!$AK$2:$AL$13, IF(J198="Huyện Nhà Bè", Ward!$AM$2:$AN$8, IF(J198="Quận Phú Nhuận", Ward!$AO$2:$AP$16, IF(J198="Quận Tân Bình", Ward!$AQ$2:$AR$16, IF(J198="Quận Tân Phú", Ward!$AS$2:$AT$12, IF(J198="Quận Thủ Đức", Ward!$AU$2:$AV$13)))))))))))))))))))))))), 2, FALSE), "")</f>
        <v/>
      </c>
      <c r="Y198" s="20" t="str">
        <f>IF(B198 &lt;&gt; "", VLOOKUP(B198, HospitalType!$A$2:$B$9, 2, FALSE), "")</f>
        <v/>
      </c>
    </row>
    <row r="199" spans="1:25" x14ac:dyDescent="0.25">
      <c r="A199" s="34"/>
      <c r="B199" s="24"/>
      <c r="C199" s="24"/>
      <c r="D199" s="24"/>
      <c r="E199" s="24"/>
      <c r="F199" s="24"/>
      <c r="G199" s="25"/>
      <c r="H199" s="25"/>
      <c r="I199" s="25"/>
      <c r="J199" s="25"/>
      <c r="K199" s="25"/>
      <c r="L199" s="25"/>
      <c r="M199" s="25"/>
      <c r="N199" s="25"/>
      <c r="O199" s="25"/>
      <c r="P199" s="25"/>
      <c r="Q199" s="24"/>
      <c r="R199" s="26"/>
      <c r="S199" s="26"/>
      <c r="T199" s="26"/>
      <c r="U199" s="27"/>
      <c r="V199" s="20" t="str">
        <f>IF(I199 &lt;&gt; "", VLOOKUP(I199, City!$A$1:$B$2, 2, FALSE), "" )</f>
        <v/>
      </c>
      <c r="W199" s="20" t="str">
        <f>IF(J199 &lt;&gt; "", VLOOKUP(J199, District!$A$1:$B$25, 2, FALSE), "")</f>
        <v/>
      </c>
      <c r="X199" s="21" t="str">
        <f>IF(K199 &lt;&gt; "", VLOOKUP(K199, IF(J199="Quận 1", Ward!$A$2:$B$11, IF(J199="Quận 2", Ward!$C$2:$D$12, IF(J199="Quận 3", Ward!$E$2:$F$15, IF(J199="Quận 4", Ward!$G$2:$H$16, IF(J199="Quận 5", Ward!$I$2:$J$16, IF(J199="Quận 6", Ward!$K$2:$L$15, IF(J199="Quận 7", Ward!$M$2:$N$11, IF(J199="Quận 8", Ward!$O$2:$P$17, IF(J199="Quận 9", Ward!$Q$2:$R$14, IF(J199="Quận 10", Ward!$S$2:$T$16, IF(J199="Quận 11", Ward!$U$2:$V$17, IF(J199="Quận 12", Ward!$W$2:$X$12, IF(J199="Huyện Bình Chánh", Ward!$Y$2:$Z$17, IF(J199="Quận Bình Tân", Ward!$AA$2:$AB$11, IF(J199="Quận Bình Thạnh", Ward!$AC$2:$AD$21, IF(J199="Huyện Cần Giờ", Ward!$AE$2:$AF$8, IF(J199="Huyện Củ Chi", Ward!$AG$2:$AH$22, IF(J199="Quận Gò Vấp", Ward!$AI$2:$AJ$17, IF(J199="Huyện Hóc Môn", Ward!$AK$2:$AL$13, IF(J199="Huyện Nhà Bè", Ward!$AM$2:$AN$8, IF(J199="Quận Phú Nhuận", Ward!$AO$2:$AP$16, IF(J199="Quận Tân Bình", Ward!$AQ$2:$AR$16, IF(J199="Quận Tân Phú", Ward!$AS$2:$AT$12, IF(J199="Quận Thủ Đức", Ward!$AU$2:$AV$13)))))))))))))))))))))))), 2, FALSE), "")</f>
        <v/>
      </c>
      <c r="Y199" s="20" t="str">
        <f>IF(B199 &lt;&gt; "", VLOOKUP(B199, HospitalType!$A$2:$B$9, 2, FALSE), "")</f>
        <v/>
      </c>
    </row>
    <row r="200" spans="1:25" ht="15.75" thickBot="1" x14ac:dyDescent="0.3">
      <c r="A200" s="35"/>
      <c r="B200" s="29"/>
      <c r="C200" s="29"/>
      <c r="D200" s="29"/>
      <c r="E200" s="29"/>
      <c r="F200" s="29"/>
      <c r="G200" s="30"/>
      <c r="H200" s="30"/>
      <c r="I200" s="30"/>
      <c r="J200" s="30"/>
      <c r="K200" s="30"/>
      <c r="L200" s="30"/>
      <c r="M200" s="30"/>
      <c r="N200" s="30"/>
      <c r="O200" s="30"/>
      <c r="P200" s="30"/>
      <c r="Q200" s="29"/>
      <c r="R200" s="31"/>
      <c r="S200" s="31"/>
      <c r="T200" s="31"/>
      <c r="U200" s="32"/>
      <c r="V200" s="20" t="str">
        <f>IF(I200 &lt;&gt; "", VLOOKUP(I200, City!$A$1:$B$2, 2, FALSE), "" )</f>
        <v/>
      </c>
      <c r="W200" s="20" t="str">
        <f>IF(J200 &lt;&gt; "", VLOOKUP(J200, District!$A$1:$B$25, 2, FALSE), "")</f>
        <v/>
      </c>
      <c r="X200" s="21" t="str">
        <f>IF(K200 &lt;&gt; "", VLOOKUP(K200, IF(J200="Quận 1", Ward!$A$2:$B$11, IF(J200="Quận 2", Ward!$C$2:$D$12, IF(J200="Quận 3", Ward!$E$2:$F$15, IF(J200="Quận 4", Ward!$G$2:$H$16, IF(J200="Quận 5", Ward!$I$2:$J$16, IF(J200="Quận 6", Ward!$K$2:$L$15, IF(J200="Quận 7", Ward!$M$2:$N$11, IF(J200="Quận 8", Ward!$O$2:$P$17, IF(J200="Quận 9", Ward!$Q$2:$R$14, IF(J200="Quận 10", Ward!$S$2:$T$16, IF(J200="Quận 11", Ward!$U$2:$V$17, IF(J200="Quận 12", Ward!$W$2:$X$12, IF(J200="Huyện Bình Chánh", Ward!$Y$2:$Z$17, IF(J200="Quận Bình Tân", Ward!$AA$2:$AB$11, IF(J200="Quận Bình Thạnh", Ward!$AC$2:$AD$21, IF(J200="Huyện Cần Giờ", Ward!$AE$2:$AF$8, IF(J200="Huyện Củ Chi", Ward!$AG$2:$AH$22, IF(J200="Quận Gò Vấp", Ward!$AI$2:$AJ$17, IF(J200="Huyện Hóc Môn", Ward!$AK$2:$AL$13, IF(J200="Huyện Nhà Bè", Ward!$AM$2:$AN$8, IF(J200="Quận Phú Nhuận", Ward!$AO$2:$AP$16, IF(J200="Quận Tân Bình", Ward!$AQ$2:$AR$16, IF(J200="Quận Tân Phú", Ward!$AS$2:$AT$12, IF(J200="Quận Thủ Đức", Ward!$AU$2:$AV$13)))))))))))))))))))))))), 2, FALSE), "")</f>
        <v/>
      </c>
      <c r="Y200" s="20" t="str">
        <f>IF(B200 &lt;&gt; "", VLOOKUP(B200, HospitalType!$A$2:$B$9, 2, FALSE), "")</f>
        <v/>
      </c>
    </row>
  </sheetData>
  <dataValidations count="8">
    <dataValidation type="list" allowBlank="1" showInputMessage="1" showErrorMessage="1" sqref="I2:I200">
      <formula1>CityList</formula1>
    </dataValidation>
    <dataValidation type="list" allowBlank="1" showInputMessage="1" showErrorMessage="1" sqref="J2:J200">
      <formula1>INDIRECT(SUBSTITUTE($I2, " ", "_")&amp;"_List")</formula1>
    </dataValidation>
    <dataValidation type="list" allowBlank="1" showInputMessage="1" showErrorMessage="1" sqref="K2:K200">
      <formula1>INDIRECT("SG_"&amp;SUBSTITUTE($J2, " ", "_")&amp;"_List")</formula1>
    </dataValidation>
    <dataValidation type="list" allowBlank="1" showInputMessage="1" showErrorMessage="1" sqref="R2:R200">
      <formula1>SpecialityList</formula1>
    </dataValidation>
    <dataValidation type="list" allowBlank="1" showInputMessage="1" showErrorMessage="1" sqref="S2:S200 T59:T64">
      <formula1>ServiceList</formula1>
    </dataValidation>
    <dataValidation type="list" allowBlank="1" showInputMessage="1" showErrorMessage="1" sqref="T2:T58 T65:T200">
      <formula1>FacilityList</formula1>
    </dataValidation>
    <dataValidation type="list" allowBlank="1" showInputMessage="1" showErrorMessage="1" sqref="B2:B200">
      <formula1>HospitalTypeList</formula1>
    </dataValidation>
    <dataValidation type="list" allowBlank="1" showInputMessage="1" showErrorMessage="1" sqref="E2:E200">
      <formula1>"True, False"</formula1>
    </dataValidation>
  </dataValidations>
  <hyperlinks>
    <hyperlink ref="Q22" r:id="rId1"/>
    <hyperlink ref="Q23" r:id="rId2"/>
    <hyperlink ref="P24" r:id="rId3"/>
    <hyperlink ref="Q24" r:id="rId4"/>
    <hyperlink ref="Q25" r:id="rId5"/>
    <hyperlink ref="P27" r:id="rId6"/>
    <hyperlink ref="Q27" r:id="rId7"/>
    <hyperlink ref="Q30" r:id="rId8"/>
    <hyperlink ref="Q31" r:id="rId9"/>
    <hyperlink ref="Q32" r:id="rId10"/>
    <hyperlink ref="Q33" r:id="rId11"/>
    <hyperlink ref="Q34" r:id="rId12"/>
  </hyperlinks>
  <pageMargins left="0.7" right="0.7" top="0.75" bottom="0.75" header="0.3" footer="0.3"/>
  <pageSetup orientation="portrait" r:id="rId1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heetViews>
  <sheetFormatPr defaultRowHeight="15" x14ac:dyDescent="0.25"/>
  <cols>
    <col min="1" max="1" width="16.140625" bestFit="1" customWidth="1"/>
    <col min="2" max="2" width="8.140625" bestFit="1" customWidth="1"/>
  </cols>
  <sheetData>
    <row r="1" spans="1:2" ht="19.5" x14ac:dyDescent="0.25">
      <c r="A1" s="1" t="s">
        <v>11</v>
      </c>
      <c r="B1" s="11" t="s">
        <v>85</v>
      </c>
    </row>
    <row r="2" spans="1:2" ht="15.75" thickBot="1" x14ac:dyDescent="0.3">
      <c r="A2" s="4" t="s">
        <v>12</v>
      </c>
      <c r="B2" s="10">
        <v>79</v>
      </c>
    </row>
  </sheetData>
  <autoFilter ref="A1:A2"/>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25"/>
  <sheetViews>
    <sheetView workbookViewId="0"/>
  </sheetViews>
  <sheetFormatPr defaultRowHeight="15" x14ac:dyDescent="0.25"/>
  <cols>
    <col min="1" max="1" width="18.7109375" bestFit="1" customWidth="1"/>
    <col min="2" max="2" width="8.140625" bestFit="1" customWidth="1"/>
  </cols>
  <sheetData>
    <row r="1" spans="1:2" ht="19.5" x14ac:dyDescent="0.25">
      <c r="A1" s="1" t="s">
        <v>12</v>
      </c>
      <c r="B1" s="11" t="s">
        <v>85</v>
      </c>
    </row>
    <row r="2" spans="1:2" x14ac:dyDescent="0.25">
      <c r="A2" s="2" t="s">
        <v>327</v>
      </c>
      <c r="B2" s="9">
        <v>760</v>
      </c>
    </row>
    <row r="3" spans="1:2" x14ac:dyDescent="0.25">
      <c r="A3" s="2" t="s">
        <v>328</v>
      </c>
      <c r="B3" s="9">
        <v>771</v>
      </c>
    </row>
    <row r="4" spans="1:2" x14ac:dyDescent="0.25">
      <c r="A4" s="2" t="s">
        <v>329</v>
      </c>
      <c r="B4" s="9">
        <v>772</v>
      </c>
    </row>
    <row r="5" spans="1:2" x14ac:dyDescent="0.25">
      <c r="A5" s="2" t="s">
        <v>330</v>
      </c>
      <c r="B5" s="9">
        <v>761</v>
      </c>
    </row>
    <row r="6" spans="1:2" x14ac:dyDescent="0.25">
      <c r="A6" s="2" t="s">
        <v>331</v>
      </c>
      <c r="B6" s="9">
        <v>769</v>
      </c>
    </row>
    <row r="7" spans="1:2" x14ac:dyDescent="0.25">
      <c r="A7" s="2" t="s">
        <v>332</v>
      </c>
      <c r="B7" s="9">
        <v>770</v>
      </c>
    </row>
    <row r="8" spans="1:2" x14ac:dyDescent="0.25">
      <c r="A8" s="2" t="s">
        <v>333</v>
      </c>
      <c r="B8" s="9">
        <v>773</v>
      </c>
    </row>
    <row r="9" spans="1:2" x14ac:dyDescent="0.25">
      <c r="A9" s="2" t="s">
        <v>334</v>
      </c>
      <c r="B9" s="9">
        <v>774</v>
      </c>
    </row>
    <row r="10" spans="1:2" x14ac:dyDescent="0.25">
      <c r="A10" s="2" t="s">
        <v>335</v>
      </c>
      <c r="B10" s="9">
        <v>775</v>
      </c>
    </row>
    <row r="11" spans="1:2" x14ac:dyDescent="0.25">
      <c r="A11" s="2" t="s">
        <v>336</v>
      </c>
      <c r="B11" s="9">
        <v>778</v>
      </c>
    </row>
    <row r="12" spans="1:2" x14ac:dyDescent="0.25">
      <c r="A12" s="2" t="s">
        <v>337</v>
      </c>
      <c r="B12" s="9">
        <v>776</v>
      </c>
    </row>
    <row r="13" spans="1:2" x14ac:dyDescent="0.25">
      <c r="A13" s="2" t="s">
        <v>338</v>
      </c>
      <c r="B13" s="9">
        <v>763</v>
      </c>
    </row>
    <row r="14" spans="1:2" x14ac:dyDescent="0.25">
      <c r="A14" s="2" t="s">
        <v>419</v>
      </c>
      <c r="B14" s="9">
        <v>785</v>
      </c>
    </row>
    <row r="15" spans="1:2" x14ac:dyDescent="0.25">
      <c r="A15" s="2" t="s">
        <v>339</v>
      </c>
      <c r="B15" s="9">
        <v>777</v>
      </c>
    </row>
    <row r="16" spans="1:2" x14ac:dyDescent="0.25">
      <c r="A16" s="2" t="s">
        <v>340</v>
      </c>
      <c r="B16" s="9">
        <v>765</v>
      </c>
    </row>
    <row r="17" spans="1:2" x14ac:dyDescent="0.25">
      <c r="A17" s="2" t="s">
        <v>421</v>
      </c>
      <c r="B17" s="9">
        <v>787</v>
      </c>
    </row>
    <row r="18" spans="1:2" x14ac:dyDescent="0.25">
      <c r="A18" s="2" t="s">
        <v>417</v>
      </c>
      <c r="B18" s="9">
        <v>783</v>
      </c>
    </row>
    <row r="19" spans="1:2" x14ac:dyDescent="0.25">
      <c r="A19" s="2" t="s">
        <v>341</v>
      </c>
      <c r="B19" s="9">
        <v>764</v>
      </c>
    </row>
    <row r="20" spans="1:2" x14ac:dyDescent="0.25">
      <c r="A20" s="2" t="s">
        <v>418</v>
      </c>
      <c r="B20" s="9">
        <v>784</v>
      </c>
    </row>
    <row r="21" spans="1:2" x14ac:dyDescent="0.25">
      <c r="A21" s="2" t="s">
        <v>420</v>
      </c>
      <c r="B21" s="9">
        <v>786</v>
      </c>
    </row>
    <row r="22" spans="1:2" x14ac:dyDescent="0.25">
      <c r="A22" s="2" t="s">
        <v>342</v>
      </c>
      <c r="B22" s="9">
        <v>768</v>
      </c>
    </row>
    <row r="23" spans="1:2" x14ac:dyDescent="0.25">
      <c r="A23" s="2" t="s">
        <v>343</v>
      </c>
      <c r="B23" s="9">
        <v>766</v>
      </c>
    </row>
    <row r="24" spans="1:2" x14ac:dyDescent="0.25">
      <c r="A24" s="2" t="s">
        <v>344</v>
      </c>
      <c r="B24" s="9">
        <v>767</v>
      </c>
    </row>
    <row r="25" spans="1:2" ht="15.75" thickBot="1" x14ac:dyDescent="0.3">
      <c r="A25" s="12" t="s">
        <v>345</v>
      </c>
      <c r="B25" s="10">
        <v>762</v>
      </c>
    </row>
  </sheetData>
  <autoFilter ref="A1:A2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V22"/>
  <sheetViews>
    <sheetView topLeftCell="AI1" workbookViewId="0">
      <selection activeCell="AI1" sqref="AI1"/>
    </sheetView>
  </sheetViews>
  <sheetFormatPr defaultRowHeight="15" x14ac:dyDescent="0.25"/>
  <cols>
    <col min="1" max="1" width="24.140625" bestFit="1" customWidth="1"/>
    <col min="2" max="2" width="10.42578125" bestFit="1" customWidth="1"/>
    <col min="3" max="3" width="23.28515625" bestFit="1" customWidth="1"/>
    <col min="4" max="12" width="10.42578125" bestFit="1" customWidth="1"/>
    <col min="13" max="13" width="22.85546875" bestFit="1" customWidth="1"/>
    <col min="14" max="16" width="10.42578125" bestFit="1" customWidth="1"/>
    <col min="17" max="17" width="24" bestFit="1" customWidth="1"/>
    <col min="18" max="22" width="10.42578125" bestFit="1" customWidth="1"/>
    <col min="23" max="23" width="24.42578125" bestFit="1" customWidth="1"/>
    <col min="24" max="24" width="10.42578125" bestFit="1" customWidth="1"/>
    <col min="25" max="25" width="17.5703125" bestFit="1" customWidth="1"/>
    <col min="26" max="26" width="10.42578125" bestFit="1" customWidth="1"/>
    <col min="27" max="27" width="23.5703125" bestFit="1" customWidth="1"/>
    <col min="28" max="28" width="10.42578125" bestFit="1" customWidth="1"/>
    <col min="29" max="29" width="16.85546875" customWidth="1"/>
    <col min="30" max="30" width="10.42578125" bestFit="1" customWidth="1"/>
    <col min="31" max="31" width="20.42578125" bestFit="1" customWidth="1"/>
    <col min="32" max="32" width="10.42578125" bestFit="1" customWidth="1"/>
    <col min="33" max="33" width="19.5703125" bestFit="1" customWidth="1"/>
    <col min="34" max="34" width="10.42578125" bestFit="1" customWidth="1"/>
    <col min="35" max="36" width="11.85546875" customWidth="1"/>
    <col min="37" max="37" width="20" bestFit="1" customWidth="1"/>
    <col min="38" max="38" width="10.42578125" bestFit="1" customWidth="1"/>
    <col min="39" max="39" width="14.85546875" bestFit="1" customWidth="1"/>
    <col min="40" max="40" width="10.42578125" bestFit="1" customWidth="1"/>
    <col min="41" max="41" width="15.28515625" customWidth="1"/>
    <col min="42" max="42" width="10.42578125" bestFit="1" customWidth="1"/>
    <col min="43" max="43" width="12.42578125" customWidth="1"/>
    <col min="44" max="44" width="10.42578125" bestFit="1" customWidth="1"/>
    <col min="45" max="45" width="20.140625" bestFit="1" customWidth="1"/>
    <col min="46" max="46" width="12.42578125" customWidth="1"/>
    <col min="47" max="47" width="23.42578125" bestFit="1" customWidth="1"/>
  </cols>
  <sheetData>
    <row r="1" spans="1:48" ht="19.5" x14ac:dyDescent="0.25">
      <c r="A1" s="5">
        <v>1</v>
      </c>
      <c r="B1" s="6" t="s">
        <v>85</v>
      </c>
      <c r="C1" s="6" t="s">
        <v>14</v>
      </c>
      <c r="D1" s="6" t="s">
        <v>85</v>
      </c>
      <c r="E1" s="6" t="s">
        <v>15</v>
      </c>
      <c r="F1" s="6" t="s">
        <v>85</v>
      </c>
      <c r="G1" s="6">
        <v>4</v>
      </c>
      <c r="H1" s="6" t="s">
        <v>85</v>
      </c>
      <c r="I1" s="6">
        <v>5</v>
      </c>
      <c r="J1" s="6" t="s">
        <v>85</v>
      </c>
      <c r="K1" s="6">
        <v>6</v>
      </c>
      <c r="L1" s="6" t="s">
        <v>85</v>
      </c>
      <c r="M1" s="6">
        <v>7</v>
      </c>
      <c r="N1" s="6" t="s">
        <v>85</v>
      </c>
      <c r="O1" s="6">
        <v>8</v>
      </c>
      <c r="P1" s="6" t="s">
        <v>85</v>
      </c>
      <c r="Q1" s="6">
        <v>9</v>
      </c>
      <c r="R1" s="6" t="s">
        <v>85</v>
      </c>
      <c r="S1" s="6" t="s">
        <v>13</v>
      </c>
      <c r="T1" s="6" t="s">
        <v>85</v>
      </c>
      <c r="U1" s="6">
        <v>11</v>
      </c>
      <c r="V1" s="6" t="s">
        <v>85</v>
      </c>
      <c r="W1" s="6">
        <v>12</v>
      </c>
      <c r="X1" s="6" t="s">
        <v>85</v>
      </c>
      <c r="Y1" s="6" t="s">
        <v>16</v>
      </c>
      <c r="Z1" s="6" t="s">
        <v>85</v>
      </c>
      <c r="AA1" s="6" t="s">
        <v>17</v>
      </c>
      <c r="AB1" s="6" t="s">
        <v>85</v>
      </c>
      <c r="AC1" s="6" t="s">
        <v>18</v>
      </c>
      <c r="AD1" s="6" t="s">
        <v>85</v>
      </c>
      <c r="AE1" s="6" t="s">
        <v>19</v>
      </c>
      <c r="AF1" s="6" t="s">
        <v>85</v>
      </c>
      <c r="AG1" s="6" t="s">
        <v>20</v>
      </c>
      <c r="AH1" s="6" t="s">
        <v>85</v>
      </c>
      <c r="AI1" s="6" t="s">
        <v>21</v>
      </c>
      <c r="AJ1" s="6" t="s">
        <v>85</v>
      </c>
      <c r="AK1" s="6" t="s">
        <v>22</v>
      </c>
      <c r="AL1" s="6" t="s">
        <v>85</v>
      </c>
      <c r="AM1" s="6" t="s">
        <v>23</v>
      </c>
      <c r="AN1" s="6" t="s">
        <v>85</v>
      </c>
      <c r="AO1" s="6" t="s">
        <v>24</v>
      </c>
      <c r="AP1" s="6" t="s">
        <v>85</v>
      </c>
      <c r="AQ1" s="6" t="s">
        <v>25</v>
      </c>
      <c r="AR1" s="6" t="s">
        <v>85</v>
      </c>
      <c r="AS1" s="6" t="s">
        <v>26</v>
      </c>
      <c r="AT1" s="6" t="s">
        <v>85</v>
      </c>
      <c r="AU1" s="6" t="s">
        <v>27</v>
      </c>
      <c r="AV1" s="7" t="s">
        <v>85</v>
      </c>
    </row>
    <row r="2" spans="1:48" x14ac:dyDescent="0.25">
      <c r="A2" t="s">
        <v>346</v>
      </c>
      <c r="B2" s="8">
        <v>26740</v>
      </c>
      <c r="C2" s="8" t="s">
        <v>356</v>
      </c>
      <c r="D2" s="8">
        <v>27106</v>
      </c>
      <c r="E2" s="16" t="s">
        <v>367</v>
      </c>
      <c r="F2" s="8" t="s">
        <v>86</v>
      </c>
      <c r="G2" s="8" t="s">
        <v>367</v>
      </c>
      <c r="H2" s="8" t="s">
        <v>100</v>
      </c>
      <c r="I2" s="8" t="s">
        <v>367</v>
      </c>
      <c r="J2" s="8" t="s">
        <v>115</v>
      </c>
      <c r="K2" s="8" t="s">
        <v>367</v>
      </c>
      <c r="L2" s="8" t="s">
        <v>130</v>
      </c>
      <c r="M2" s="8" t="s">
        <v>384</v>
      </c>
      <c r="N2" s="8">
        <v>27478</v>
      </c>
      <c r="O2" s="8" t="s">
        <v>367</v>
      </c>
      <c r="P2" s="8" t="s">
        <v>144</v>
      </c>
      <c r="Q2" s="8" t="s">
        <v>394</v>
      </c>
      <c r="R2" s="8">
        <v>26839</v>
      </c>
      <c r="S2" s="8" t="s">
        <v>367</v>
      </c>
      <c r="T2" s="8" t="s">
        <v>160</v>
      </c>
      <c r="U2" s="8" t="s">
        <v>367</v>
      </c>
      <c r="V2" s="8" t="s">
        <v>175</v>
      </c>
      <c r="W2" s="8" t="s">
        <v>406</v>
      </c>
      <c r="X2" s="8">
        <v>26779</v>
      </c>
      <c r="Y2" s="8" t="s">
        <v>423</v>
      </c>
      <c r="Z2" s="8">
        <v>27625</v>
      </c>
      <c r="AA2" s="8" t="s">
        <v>438</v>
      </c>
      <c r="AB2" s="8">
        <v>27460</v>
      </c>
      <c r="AC2" s="8" t="s">
        <v>367</v>
      </c>
      <c r="AD2" s="8" t="s">
        <v>191</v>
      </c>
      <c r="AE2" s="8" t="s">
        <v>458</v>
      </c>
      <c r="AF2" s="8">
        <v>27673</v>
      </c>
      <c r="AG2" s="8" t="s">
        <v>465</v>
      </c>
      <c r="AH2" s="8">
        <v>27508</v>
      </c>
      <c r="AI2" s="8" t="s">
        <v>367</v>
      </c>
      <c r="AJ2" s="8" t="s">
        <v>211</v>
      </c>
      <c r="AK2" s="8" t="s">
        <v>489</v>
      </c>
      <c r="AL2" s="8">
        <v>27592</v>
      </c>
      <c r="AM2" s="8" t="s">
        <v>501</v>
      </c>
      <c r="AN2" s="8">
        <v>27661</v>
      </c>
      <c r="AO2" s="8" t="s">
        <v>367</v>
      </c>
      <c r="AP2" s="8" t="s">
        <v>227</v>
      </c>
      <c r="AQ2" s="8" t="s">
        <v>367</v>
      </c>
      <c r="AR2" s="8" t="s">
        <v>242</v>
      </c>
      <c r="AS2" s="8" t="s">
        <v>507</v>
      </c>
      <c r="AT2" s="8">
        <v>27037</v>
      </c>
      <c r="AU2" s="8" t="s">
        <v>518</v>
      </c>
      <c r="AV2" s="13">
        <v>26797</v>
      </c>
    </row>
    <row r="3" spans="1:48" x14ac:dyDescent="0.25">
      <c r="A3" t="s">
        <v>347</v>
      </c>
      <c r="B3" s="8">
        <v>26743</v>
      </c>
      <c r="C3" s="8" t="s">
        <v>357</v>
      </c>
      <c r="D3" s="8">
        <v>27115</v>
      </c>
      <c r="E3" s="16" t="s">
        <v>368</v>
      </c>
      <c r="F3" s="8" t="s">
        <v>87</v>
      </c>
      <c r="G3" s="8" t="s">
        <v>368</v>
      </c>
      <c r="H3" s="8" t="s">
        <v>101</v>
      </c>
      <c r="I3" s="8" t="s">
        <v>368</v>
      </c>
      <c r="J3" s="8" t="s">
        <v>116</v>
      </c>
      <c r="K3" s="8" t="s">
        <v>368</v>
      </c>
      <c r="L3" s="8" t="s">
        <v>131</v>
      </c>
      <c r="M3" s="8" t="s">
        <v>385</v>
      </c>
      <c r="N3" s="8">
        <v>27493</v>
      </c>
      <c r="O3" s="8" t="s">
        <v>368</v>
      </c>
      <c r="P3" s="8" t="s">
        <v>145</v>
      </c>
      <c r="Q3" s="8" t="s">
        <v>395</v>
      </c>
      <c r="R3" s="8">
        <v>26830</v>
      </c>
      <c r="S3" s="8" t="s">
        <v>368</v>
      </c>
      <c r="T3" s="8" t="s">
        <v>161</v>
      </c>
      <c r="U3" s="8" t="s">
        <v>368</v>
      </c>
      <c r="V3" s="8" t="s">
        <v>176</v>
      </c>
      <c r="W3" s="8" t="s">
        <v>407</v>
      </c>
      <c r="X3" s="8">
        <v>26788</v>
      </c>
      <c r="Y3" s="8" t="s">
        <v>424</v>
      </c>
      <c r="Z3" s="8">
        <v>27637</v>
      </c>
      <c r="AA3" s="8" t="s">
        <v>439</v>
      </c>
      <c r="AB3" s="8">
        <v>27463</v>
      </c>
      <c r="AC3" s="8" t="s">
        <v>368</v>
      </c>
      <c r="AD3" s="8" t="s">
        <v>192</v>
      </c>
      <c r="AE3" s="8" t="s">
        <v>459</v>
      </c>
      <c r="AF3" s="8">
        <v>27667</v>
      </c>
      <c r="AG3" s="8" t="s">
        <v>466</v>
      </c>
      <c r="AH3" s="8">
        <v>27502</v>
      </c>
      <c r="AI3" s="8" t="s">
        <v>369</v>
      </c>
      <c r="AJ3" s="8" t="s">
        <v>212</v>
      </c>
      <c r="AK3" s="8" t="s">
        <v>490</v>
      </c>
      <c r="AL3" s="8">
        <v>27568</v>
      </c>
      <c r="AM3" s="8" t="s">
        <v>502</v>
      </c>
      <c r="AN3" s="8">
        <v>27658</v>
      </c>
      <c r="AO3" s="8" t="s">
        <v>368</v>
      </c>
      <c r="AP3" s="8" t="s">
        <v>228</v>
      </c>
      <c r="AQ3" s="8" t="s">
        <v>368</v>
      </c>
      <c r="AR3" s="8" t="s">
        <v>243</v>
      </c>
      <c r="AS3" s="8" t="s">
        <v>508</v>
      </c>
      <c r="AT3" s="8">
        <v>27034</v>
      </c>
      <c r="AU3" s="8" t="s">
        <v>519</v>
      </c>
      <c r="AV3" s="13">
        <v>26824</v>
      </c>
    </row>
    <row r="4" spans="1:48" x14ac:dyDescent="0.25">
      <c r="A4" t="s">
        <v>348</v>
      </c>
      <c r="B4" s="8">
        <v>26761</v>
      </c>
      <c r="C4" s="8" t="s">
        <v>358</v>
      </c>
      <c r="D4" s="8">
        <v>27091</v>
      </c>
      <c r="E4" s="16" t="s">
        <v>369</v>
      </c>
      <c r="F4" s="8" t="s">
        <v>88</v>
      </c>
      <c r="G4" s="8" t="s">
        <v>369</v>
      </c>
      <c r="H4" s="8" t="s">
        <v>102</v>
      </c>
      <c r="I4" s="8" t="s">
        <v>369</v>
      </c>
      <c r="J4" s="8" t="s">
        <v>117</v>
      </c>
      <c r="K4" s="8" t="s">
        <v>369</v>
      </c>
      <c r="L4" s="8" t="s">
        <v>132</v>
      </c>
      <c r="M4" s="8" t="s">
        <v>386</v>
      </c>
      <c r="N4" s="8">
        <v>27484</v>
      </c>
      <c r="O4" s="8" t="s">
        <v>369</v>
      </c>
      <c r="P4" s="8" t="s">
        <v>146</v>
      </c>
      <c r="Q4" s="8" t="s">
        <v>396</v>
      </c>
      <c r="R4" s="8">
        <v>26857</v>
      </c>
      <c r="S4" s="8" t="s">
        <v>369</v>
      </c>
      <c r="T4" s="8" t="s">
        <v>162</v>
      </c>
      <c r="U4" s="8" t="s">
        <v>369</v>
      </c>
      <c r="V4" s="8" t="s">
        <v>177</v>
      </c>
      <c r="W4" s="8" t="s">
        <v>408</v>
      </c>
      <c r="X4" s="8">
        <v>26770</v>
      </c>
      <c r="Y4" s="8" t="s">
        <v>425</v>
      </c>
      <c r="Z4" s="8">
        <v>27619</v>
      </c>
      <c r="AA4" s="8" t="s">
        <v>440</v>
      </c>
      <c r="AB4" s="8">
        <v>27436</v>
      </c>
      <c r="AC4" s="8" t="s">
        <v>369</v>
      </c>
      <c r="AD4" s="8" t="s">
        <v>193</v>
      </c>
      <c r="AE4" s="8" t="s">
        <v>457</v>
      </c>
      <c r="AF4" s="8">
        <v>27664</v>
      </c>
      <c r="AG4" s="8" t="s">
        <v>467</v>
      </c>
      <c r="AH4" s="8">
        <v>27550</v>
      </c>
      <c r="AI4" s="8" t="s">
        <v>370</v>
      </c>
      <c r="AJ4" s="8" t="s">
        <v>213</v>
      </c>
      <c r="AK4" s="8" t="s">
        <v>488</v>
      </c>
      <c r="AL4" s="8">
        <v>27559</v>
      </c>
      <c r="AM4" s="8" t="s">
        <v>500</v>
      </c>
      <c r="AN4" s="8">
        <v>27643</v>
      </c>
      <c r="AO4" s="8" t="s">
        <v>369</v>
      </c>
      <c r="AP4" s="8" t="s">
        <v>229</v>
      </c>
      <c r="AQ4" s="8" t="s">
        <v>369</v>
      </c>
      <c r="AR4" s="8" t="s">
        <v>244</v>
      </c>
      <c r="AS4" s="8" t="s">
        <v>509</v>
      </c>
      <c r="AT4" s="8">
        <v>27028</v>
      </c>
      <c r="AU4" s="8" t="s">
        <v>520</v>
      </c>
      <c r="AV4" s="13">
        <v>26812</v>
      </c>
    </row>
    <row r="5" spans="1:48" x14ac:dyDescent="0.25">
      <c r="A5" t="s">
        <v>349</v>
      </c>
      <c r="B5" s="8">
        <v>26752</v>
      </c>
      <c r="C5" s="8" t="s">
        <v>359</v>
      </c>
      <c r="D5" s="8">
        <v>27094</v>
      </c>
      <c r="E5" s="16" t="s">
        <v>370</v>
      </c>
      <c r="F5" s="8" t="s">
        <v>89</v>
      </c>
      <c r="G5" s="8" t="s">
        <v>370</v>
      </c>
      <c r="H5" s="8" t="s">
        <v>103</v>
      </c>
      <c r="I5" s="8" t="s">
        <v>370</v>
      </c>
      <c r="J5" s="8" t="s">
        <v>118</v>
      </c>
      <c r="K5" s="8" t="s">
        <v>370</v>
      </c>
      <c r="L5" s="8" t="s">
        <v>133</v>
      </c>
      <c r="M5" s="8" t="s">
        <v>387</v>
      </c>
      <c r="N5" s="8">
        <v>27475</v>
      </c>
      <c r="O5" s="8" t="s">
        <v>370</v>
      </c>
      <c r="P5" s="8" t="s">
        <v>147</v>
      </c>
      <c r="Q5" s="8" t="s">
        <v>397</v>
      </c>
      <c r="R5" s="8">
        <v>26833</v>
      </c>
      <c r="S5" s="8" t="s">
        <v>370</v>
      </c>
      <c r="T5" s="8" t="s">
        <v>163</v>
      </c>
      <c r="U5" s="8" t="s">
        <v>370</v>
      </c>
      <c r="V5" s="8" t="s">
        <v>178</v>
      </c>
      <c r="W5" s="8" t="s">
        <v>409</v>
      </c>
      <c r="X5" s="8">
        <v>26776</v>
      </c>
      <c r="Y5" s="8" t="s">
        <v>426</v>
      </c>
      <c r="Z5" s="8">
        <v>27607</v>
      </c>
      <c r="AA5" s="8" t="s">
        <v>441</v>
      </c>
      <c r="AB5" s="8">
        <v>27439</v>
      </c>
      <c r="AC5" s="8" t="s">
        <v>371</v>
      </c>
      <c r="AD5" s="8" t="s">
        <v>194</v>
      </c>
      <c r="AE5" s="8" t="s">
        <v>460</v>
      </c>
      <c r="AF5" s="8">
        <v>27679</v>
      </c>
      <c r="AG5" s="8" t="s">
        <v>464</v>
      </c>
      <c r="AH5" s="8">
        <v>27496</v>
      </c>
      <c r="AI5" s="8" t="s">
        <v>371</v>
      </c>
      <c r="AJ5" s="8" t="s">
        <v>214</v>
      </c>
      <c r="AK5" s="8" t="s">
        <v>491</v>
      </c>
      <c r="AL5" s="8">
        <v>27565</v>
      </c>
      <c r="AM5" s="8" t="s">
        <v>503</v>
      </c>
      <c r="AN5" s="8">
        <v>27652</v>
      </c>
      <c r="AO5" s="8" t="s">
        <v>370</v>
      </c>
      <c r="AP5" s="8" t="s">
        <v>230</v>
      </c>
      <c r="AQ5" s="8" t="s">
        <v>370</v>
      </c>
      <c r="AR5" s="8" t="s">
        <v>245</v>
      </c>
      <c r="AS5" s="8" t="s">
        <v>510</v>
      </c>
      <c r="AT5" s="8">
        <v>27025</v>
      </c>
      <c r="AU5" s="8" t="s">
        <v>521</v>
      </c>
      <c r="AV5" s="13">
        <v>26809</v>
      </c>
    </row>
    <row r="6" spans="1:48" x14ac:dyDescent="0.25">
      <c r="A6" t="s">
        <v>350</v>
      </c>
      <c r="B6" s="8">
        <v>26755</v>
      </c>
      <c r="C6" s="8" t="s">
        <v>360</v>
      </c>
      <c r="D6" s="8">
        <v>27103</v>
      </c>
      <c r="E6" s="16" t="s">
        <v>371</v>
      </c>
      <c r="F6" s="8" t="s">
        <v>90</v>
      </c>
      <c r="G6" s="8" t="s">
        <v>371</v>
      </c>
      <c r="H6" s="8" t="s">
        <v>104</v>
      </c>
      <c r="I6" s="8" t="s">
        <v>371</v>
      </c>
      <c r="J6" s="8" t="s">
        <v>119</v>
      </c>
      <c r="K6" s="8" t="s">
        <v>371</v>
      </c>
      <c r="L6" s="8" t="s">
        <v>134</v>
      </c>
      <c r="M6" s="8" t="s">
        <v>388</v>
      </c>
      <c r="N6" s="8">
        <v>27472</v>
      </c>
      <c r="O6" s="8" t="s">
        <v>371</v>
      </c>
      <c r="P6" s="8" t="s">
        <v>148</v>
      </c>
      <c r="Q6" s="8" t="s">
        <v>398</v>
      </c>
      <c r="R6" s="8">
        <v>26860</v>
      </c>
      <c r="S6" s="8" t="s">
        <v>371</v>
      </c>
      <c r="T6" s="8" t="s">
        <v>164</v>
      </c>
      <c r="U6" s="8" t="s">
        <v>371</v>
      </c>
      <c r="V6" s="8" t="s">
        <v>179</v>
      </c>
      <c r="W6" s="8" t="s">
        <v>410</v>
      </c>
      <c r="X6" s="8">
        <v>26787</v>
      </c>
      <c r="Y6" s="8" t="s">
        <v>427</v>
      </c>
      <c r="Z6" s="8">
        <v>27631</v>
      </c>
      <c r="AA6" s="8" t="s">
        <v>442</v>
      </c>
      <c r="AB6" s="8">
        <v>27442</v>
      </c>
      <c r="AC6" s="8" t="s">
        <v>372</v>
      </c>
      <c r="AD6" s="8" t="s">
        <v>195</v>
      </c>
      <c r="AE6" s="8" t="s">
        <v>461</v>
      </c>
      <c r="AF6" s="8">
        <v>27682</v>
      </c>
      <c r="AG6" s="8" t="s">
        <v>468</v>
      </c>
      <c r="AH6" s="8">
        <v>27544</v>
      </c>
      <c r="AI6" s="8" t="s">
        <v>373</v>
      </c>
      <c r="AJ6" s="8" t="s">
        <v>215</v>
      </c>
      <c r="AK6" s="8" t="s">
        <v>492</v>
      </c>
      <c r="AL6" s="8">
        <v>27562</v>
      </c>
      <c r="AM6" s="8" t="s">
        <v>504</v>
      </c>
      <c r="AN6" s="8">
        <v>27655</v>
      </c>
      <c r="AO6" s="8" t="s">
        <v>371</v>
      </c>
      <c r="AP6" s="8" t="s">
        <v>231</v>
      </c>
      <c r="AQ6" s="8" t="s">
        <v>371</v>
      </c>
      <c r="AR6" s="8" t="s">
        <v>246</v>
      </c>
      <c r="AS6" s="8" t="s">
        <v>511</v>
      </c>
      <c r="AT6" s="8">
        <v>27031</v>
      </c>
      <c r="AU6" s="8" t="s">
        <v>522</v>
      </c>
      <c r="AV6" s="13">
        <v>26815</v>
      </c>
    </row>
    <row r="7" spans="1:48" x14ac:dyDescent="0.25">
      <c r="A7" t="s">
        <v>351</v>
      </c>
      <c r="B7" s="8">
        <v>26737</v>
      </c>
      <c r="C7" s="8" t="s">
        <v>361</v>
      </c>
      <c r="D7" s="8">
        <v>27097</v>
      </c>
      <c r="E7" s="16" t="s">
        <v>372</v>
      </c>
      <c r="F7" s="8" t="s">
        <v>91</v>
      </c>
      <c r="G7" s="8" t="s">
        <v>372</v>
      </c>
      <c r="H7" s="8" t="s">
        <v>105</v>
      </c>
      <c r="I7" s="8" t="s">
        <v>372</v>
      </c>
      <c r="J7" s="8" t="s">
        <v>120</v>
      </c>
      <c r="K7" s="8" t="s">
        <v>372</v>
      </c>
      <c r="L7" s="8" t="s">
        <v>135</v>
      </c>
      <c r="M7" s="8" t="s">
        <v>389</v>
      </c>
      <c r="N7" s="8">
        <v>27490</v>
      </c>
      <c r="O7" s="8" t="s">
        <v>372</v>
      </c>
      <c r="P7" s="8" t="s">
        <v>149</v>
      </c>
      <c r="Q7" s="8" t="s">
        <v>399</v>
      </c>
      <c r="R7" s="8">
        <v>26866</v>
      </c>
      <c r="S7" s="8" t="s">
        <v>372</v>
      </c>
      <c r="T7" s="8" t="s">
        <v>165</v>
      </c>
      <c r="U7" s="8" t="s">
        <v>372</v>
      </c>
      <c r="V7" s="8" t="s">
        <v>180</v>
      </c>
      <c r="W7" s="8" t="s">
        <v>411</v>
      </c>
      <c r="X7" s="8">
        <v>26782</v>
      </c>
      <c r="Y7" s="8" t="s">
        <v>428</v>
      </c>
      <c r="Z7" s="8">
        <v>27628</v>
      </c>
      <c r="AA7" s="8" t="s">
        <v>443</v>
      </c>
      <c r="AB7" s="8">
        <v>27445</v>
      </c>
      <c r="AC7" s="8" t="s">
        <v>373</v>
      </c>
      <c r="AD7" s="8" t="s">
        <v>196</v>
      </c>
      <c r="AE7" s="8" t="s">
        <v>462</v>
      </c>
      <c r="AF7" s="8">
        <v>27670</v>
      </c>
      <c r="AG7" s="8" t="s">
        <v>469</v>
      </c>
      <c r="AH7" s="8">
        <v>27511</v>
      </c>
      <c r="AI7" s="8" t="s">
        <v>376</v>
      </c>
      <c r="AJ7" s="8" t="s">
        <v>216</v>
      </c>
      <c r="AK7" s="8" t="s">
        <v>493</v>
      </c>
      <c r="AL7" s="8">
        <v>27571</v>
      </c>
      <c r="AM7" s="8" t="s">
        <v>505</v>
      </c>
      <c r="AN7" s="8">
        <v>27646</v>
      </c>
      <c r="AO7" s="8" t="s">
        <v>373</v>
      </c>
      <c r="AP7" s="8" t="s">
        <v>232</v>
      </c>
      <c r="AQ7" s="8" t="s">
        <v>372</v>
      </c>
      <c r="AR7" s="8" t="s">
        <v>247</v>
      </c>
      <c r="AS7" s="8" t="s">
        <v>512</v>
      </c>
      <c r="AT7" s="8">
        <v>27016</v>
      </c>
      <c r="AU7" s="8" t="s">
        <v>523</v>
      </c>
      <c r="AV7" s="13">
        <v>26821</v>
      </c>
    </row>
    <row r="8" spans="1:48" x14ac:dyDescent="0.25">
      <c r="A8" t="s">
        <v>352</v>
      </c>
      <c r="B8" s="8">
        <v>26758</v>
      </c>
      <c r="C8" s="8" t="s">
        <v>362</v>
      </c>
      <c r="D8" s="8">
        <v>27100</v>
      </c>
      <c r="E8" s="16" t="s">
        <v>373</v>
      </c>
      <c r="F8" s="8" t="s">
        <v>92</v>
      </c>
      <c r="G8" s="8" t="s">
        <v>374</v>
      </c>
      <c r="H8" s="8" t="s">
        <v>106</v>
      </c>
      <c r="I8" s="8" t="s">
        <v>373</v>
      </c>
      <c r="J8" s="8" t="s">
        <v>121</v>
      </c>
      <c r="K8" s="8" t="s">
        <v>373</v>
      </c>
      <c r="L8" s="8" t="s">
        <v>136</v>
      </c>
      <c r="M8" s="8" t="s">
        <v>390</v>
      </c>
      <c r="N8" s="8">
        <v>27487</v>
      </c>
      <c r="O8" s="8" t="s">
        <v>373</v>
      </c>
      <c r="P8" s="8" t="s">
        <v>150</v>
      </c>
      <c r="Q8" s="8" t="s">
        <v>400</v>
      </c>
      <c r="R8" s="8">
        <v>26863</v>
      </c>
      <c r="S8" s="8" t="s">
        <v>373</v>
      </c>
      <c r="T8" s="8" t="s">
        <v>166</v>
      </c>
      <c r="U8" s="8" t="s">
        <v>373</v>
      </c>
      <c r="V8" s="8" t="s">
        <v>181</v>
      </c>
      <c r="W8" s="8" t="s">
        <v>412</v>
      </c>
      <c r="X8" s="8">
        <v>26791</v>
      </c>
      <c r="Y8" s="8" t="s">
        <v>429</v>
      </c>
      <c r="Z8" s="8">
        <v>27610</v>
      </c>
      <c r="AA8" s="8" t="s">
        <v>444</v>
      </c>
      <c r="AB8" s="8">
        <v>27448</v>
      </c>
      <c r="AC8" s="8" t="s">
        <v>377</v>
      </c>
      <c r="AD8" s="8" t="s">
        <v>197</v>
      </c>
      <c r="AE8" s="8" t="s">
        <v>463</v>
      </c>
      <c r="AF8" s="8">
        <v>27676</v>
      </c>
      <c r="AG8" s="8" t="s">
        <v>470</v>
      </c>
      <c r="AH8" s="8">
        <v>27514</v>
      </c>
      <c r="AI8" s="8" t="s">
        <v>377</v>
      </c>
      <c r="AJ8" s="8" t="s">
        <v>217</v>
      </c>
      <c r="AK8" s="8" t="s">
        <v>494</v>
      </c>
      <c r="AL8" s="8">
        <v>27580</v>
      </c>
      <c r="AM8" s="8" t="s">
        <v>506</v>
      </c>
      <c r="AN8" s="8">
        <v>27649</v>
      </c>
      <c r="AO8" s="8" t="s">
        <v>374</v>
      </c>
      <c r="AP8" s="8" t="s">
        <v>233</v>
      </c>
      <c r="AQ8" s="8" t="s">
        <v>373</v>
      </c>
      <c r="AR8" s="8" t="s">
        <v>248</v>
      </c>
      <c r="AS8" s="8" t="s">
        <v>513</v>
      </c>
      <c r="AT8" s="8">
        <v>27019</v>
      </c>
      <c r="AU8" s="8" t="s">
        <v>524</v>
      </c>
      <c r="AV8" s="13">
        <v>26818</v>
      </c>
    </row>
    <row r="9" spans="1:48" x14ac:dyDescent="0.25">
      <c r="A9" t="s">
        <v>353</v>
      </c>
      <c r="B9" s="8">
        <v>26746</v>
      </c>
      <c r="C9" s="8" t="s">
        <v>363</v>
      </c>
      <c r="D9" s="8">
        <v>27109</v>
      </c>
      <c r="E9" s="16" t="s">
        <v>374</v>
      </c>
      <c r="F9" s="8" t="s">
        <v>93</v>
      </c>
      <c r="G9" s="8" t="s">
        <v>375</v>
      </c>
      <c r="H9" s="8" t="s">
        <v>107</v>
      </c>
      <c r="I9" s="8" t="s">
        <v>374</v>
      </c>
      <c r="J9" s="8" t="s">
        <v>122</v>
      </c>
      <c r="K9" s="8" t="s">
        <v>374</v>
      </c>
      <c r="L9" s="8" t="s">
        <v>137</v>
      </c>
      <c r="M9" s="8" t="s">
        <v>391</v>
      </c>
      <c r="N9" s="8">
        <v>27481</v>
      </c>
      <c r="O9" s="8" t="s">
        <v>374</v>
      </c>
      <c r="P9" s="8" t="s">
        <v>151</v>
      </c>
      <c r="Q9" s="8" t="s">
        <v>401</v>
      </c>
      <c r="R9" s="8">
        <v>26851</v>
      </c>
      <c r="S9" s="8" t="s">
        <v>374</v>
      </c>
      <c r="T9" s="8" t="s">
        <v>167</v>
      </c>
      <c r="U9" s="8" t="s">
        <v>374</v>
      </c>
      <c r="V9" s="8" t="s">
        <v>182</v>
      </c>
      <c r="W9" s="8" t="s">
        <v>413</v>
      </c>
      <c r="X9" s="8">
        <v>26767</v>
      </c>
      <c r="Y9" s="8" t="s">
        <v>430</v>
      </c>
      <c r="Z9" s="8">
        <v>27598</v>
      </c>
      <c r="AA9" s="8" t="s">
        <v>445</v>
      </c>
      <c r="AB9" s="8">
        <v>27451</v>
      </c>
      <c r="AC9" s="8" t="s">
        <v>378</v>
      </c>
      <c r="AD9" s="8" t="s">
        <v>198</v>
      </c>
      <c r="AE9" s="8"/>
      <c r="AF9" s="8"/>
      <c r="AG9" s="8" t="s">
        <v>471</v>
      </c>
      <c r="AH9" s="8">
        <v>27517</v>
      </c>
      <c r="AI9" s="8" t="s">
        <v>378</v>
      </c>
      <c r="AJ9" s="8" t="s">
        <v>218</v>
      </c>
      <c r="AK9" s="8" t="s">
        <v>495</v>
      </c>
      <c r="AL9" s="8">
        <v>27574</v>
      </c>
      <c r="AM9" s="8"/>
      <c r="AN9" s="8"/>
      <c r="AO9" s="8" t="s">
        <v>375</v>
      </c>
      <c r="AP9" s="8" t="s">
        <v>234</v>
      </c>
      <c r="AQ9" s="8" t="s">
        <v>374</v>
      </c>
      <c r="AR9" s="8" t="s">
        <v>249</v>
      </c>
      <c r="AS9" s="8" t="s">
        <v>514</v>
      </c>
      <c r="AT9" s="8">
        <v>27010</v>
      </c>
      <c r="AU9" s="8" t="s">
        <v>525</v>
      </c>
      <c r="AV9" s="13">
        <v>26800</v>
      </c>
    </row>
    <row r="10" spans="1:48" x14ac:dyDescent="0.25">
      <c r="A10" t="s">
        <v>354</v>
      </c>
      <c r="B10" s="8">
        <v>26749</v>
      </c>
      <c r="C10" s="8" t="s">
        <v>364</v>
      </c>
      <c r="D10" s="8">
        <v>27112</v>
      </c>
      <c r="E10" s="16" t="s">
        <v>375</v>
      </c>
      <c r="F10" s="8" t="s">
        <v>94</v>
      </c>
      <c r="G10" s="8" t="s">
        <v>376</v>
      </c>
      <c r="H10" s="8" t="s">
        <v>108</v>
      </c>
      <c r="I10" s="8" t="s">
        <v>375</v>
      </c>
      <c r="J10" s="8" t="s">
        <v>123</v>
      </c>
      <c r="K10" s="8" t="s">
        <v>375</v>
      </c>
      <c r="L10" s="8" t="s">
        <v>138</v>
      </c>
      <c r="M10" s="8" t="s">
        <v>392</v>
      </c>
      <c r="N10" s="8">
        <v>27466</v>
      </c>
      <c r="O10" s="8" t="s">
        <v>375</v>
      </c>
      <c r="P10" s="8" t="s">
        <v>152</v>
      </c>
      <c r="Q10" s="8" t="s">
        <v>402</v>
      </c>
      <c r="R10" s="8">
        <v>26848</v>
      </c>
      <c r="S10" s="8" t="s">
        <v>375</v>
      </c>
      <c r="T10" s="8" t="s">
        <v>168</v>
      </c>
      <c r="U10" s="8" t="s">
        <v>375</v>
      </c>
      <c r="V10" s="8" t="s">
        <v>183</v>
      </c>
      <c r="W10" s="8" t="s">
        <v>414</v>
      </c>
      <c r="X10" s="8">
        <v>26764</v>
      </c>
      <c r="Y10" s="8" t="s">
        <v>431</v>
      </c>
      <c r="Z10" s="8">
        <v>27622</v>
      </c>
      <c r="AA10" s="8" t="s">
        <v>446</v>
      </c>
      <c r="AB10" s="8">
        <v>27454</v>
      </c>
      <c r="AC10" s="8" t="s">
        <v>379</v>
      </c>
      <c r="AD10" s="8" t="s">
        <v>199</v>
      </c>
      <c r="AE10" s="8"/>
      <c r="AF10" s="8"/>
      <c r="AG10" s="8" t="s">
        <v>472</v>
      </c>
      <c r="AH10" s="8">
        <v>27499</v>
      </c>
      <c r="AI10" s="8" t="s">
        <v>379</v>
      </c>
      <c r="AJ10" s="8" t="s">
        <v>219</v>
      </c>
      <c r="AK10" s="8" t="s">
        <v>496</v>
      </c>
      <c r="AL10" s="8">
        <v>27586</v>
      </c>
      <c r="AM10" s="8"/>
      <c r="AN10" s="8"/>
      <c r="AO10" s="8" t="s">
        <v>376</v>
      </c>
      <c r="AP10" s="8" t="s">
        <v>235</v>
      </c>
      <c r="AQ10" s="8" t="s">
        <v>375</v>
      </c>
      <c r="AR10" s="8" t="s">
        <v>250</v>
      </c>
      <c r="AS10" s="8" t="s">
        <v>515</v>
      </c>
      <c r="AT10" s="8">
        <v>27022</v>
      </c>
      <c r="AU10" s="8" t="s">
        <v>526</v>
      </c>
      <c r="AV10" s="13">
        <v>26794</v>
      </c>
    </row>
    <row r="11" spans="1:48" x14ac:dyDescent="0.25">
      <c r="A11" t="s">
        <v>355</v>
      </c>
      <c r="B11" s="8">
        <v>26734</v>
      </c>
      <c r="C11" s="8" t="s">
        <v>365</v>
      </c>
      <c r="D11" s="8">
        <v>27088</v>
      </c>
      <c r="E11" s="16" t="s">
        <v>376</v>
      </c>
      <c r="F11" s="8" t="s">
        <v>95</v>
      </c>
      <c r="G11" s="8" t="s">
        <v>378</v>
      </c>
      <c r="H11" s="8" t="s">
        <v>109</v>
      </c>
      <c r="I11" s="8" t="s">
        <v>376</v>
      </c>
      <c r="J11" s="8" t="s">
        <v>124</v>
      </c>
      <c r="K11" s="8" t="s">
        <v>376</v>
      </c>
      <c r="L11" s="8" t="s">
        <v>139</v>
      </c>
      <c r="M11" s="8" t="s">
        <v>393</v>
      </c>
      <c r="N11" s="8">
        <v>27469</v>
      </c>
      <c r="O11" s="8" t="s">
        <v>376</v>
      </c>
      <c r="P11" s="8" t="s">
        <v>153</v>
      </c>
      <c r="Q11" s="8" t="s">
        <v>390</v>
      </c>
      <c r="R11" s="8">
        <v>26836</v>
      </c>
      <c r="S11" s="8" t="s">
        <v>376</v>
      </c>
      <c r="T11" s="8" t="s">
        <v>169</v>
      </c>
      <c r="U11" s="8" t="s">
        <v>376</v>
      </c>
      <c r="V11" s="8" t="s">
        <v>184</v>
      </c>
      <c r="W11" s="8" t="s">
        <v>415</v>
      </c>
      <c r="X11" s="8">
        <v>26773</v>
      </c>
      <c r="Y11" s="8" t="s">
        <v>432</v>
      </c>
      <c r="Z11" s="8">
        <v>27640</v>
      </c>
      <c r="AA11" s="8" t="s">
        <v>447</v>
      </c>
      <c r="AB11" s="8">
        <v>27457</v>
      </c>
      <c r="AC11" s="8" t="s">
        <v>380</v>
      </c>
      <c r="AD11" s="8" t="s">
        <v>200</v>
      </c>
      <c r="AE11" s="8"/>
      <c r="AF11" s="8"/>
      <c r="AG11" s="8" t="s">
        <v>473</v>
      </c>
      <c r="AH11" s="8">
        <v>27529</v>
      </c>
      <c r="AI11" s="8" t="s">
        <v>380</v>
      </c>
      <c r="AJ11" s="8" t="s">
        <v>220</v>
      </c>
      <c r="AK11" s="8" t="s">
        <v>497</v>
      </c>
      <c r="AL11" s="8">
        <v>27583</v>
      </c>
      <c r="AM11" s="8"/>
      <c r="AN11" s="8"/>
      <c r="AO11" s="8" t="s">
        <v>377</v>
      </c>
      <c r="AP11" s="8" t="s">
        <v>236</v>
      </c>
      <c r="AQ11" s="8" t="s">
        <v>376</v>
      </c>
      <c r="AR11" s="8" t="s">
        <v>251</v>
      </c>
      <c r="AS11" s="8" t="s">
        <v>516</v>
      </c>
      <c r="AT11" s="8">
        <v>27040</v>
      </c>
      <c r="AU11" s="8" t="s">
        <v>527</v>
      </c>
      <c r="AV11" s="13">
        <v>26803</v>
      </c>
    </row>
    <row r="12" spans="1:48" x14ac:dyDescent="0.25">
      <c r="A12" s="2"/>
      <c r="B12" s="8"/>
      <c r="C12" s="8" t="s">
        <v>366</v>
      </c>
      <c r="D12" s="8">
        <v>27118</v>
      </c>
      <c r="E12" s="16" t="s">
        <v>377</v>
      </c>
      <c r="F12" s="8" t="s">
        <v>96</v>
      </c>
      <c r="G12" s="8" t="s">
        <v>379</v>
      </c>
      <c r="H12" s="8" t="s">
        <v>110</v>
      </c>
      <c r="I12" s="8" t="s">
        <v>377</v>
      </c>
      <c r="J12" s="8" t="s">
        <v>125</v>
      </c>
      <c r="K12" s="8" t="s">
        <v>377</v>
      </c>
      <c r="L12" s="8" t="s">
        <v>140</v>
      </c>
      <c r="M12" s="8"/>
      <c r="N12" s="8"/>
      <c r="O12" s="8" t="s">
        <v>377</v>
      </c>
      <c r="P12" s="8" t="s">
        <v>154</v>
      </c>
      <c r="Q12" s="8" t="s">
        <v>403</v>
      </c>
      <c r="R12" s="8">
        <v>26842</v>
      </c>
      <c r="S12" s="8" t="s">
        <v>377</v>
      </c>
      <c r="T12" s="8" t="s">
        <v>170</v>
      </c>
      <c r="U12" s="8" t="s">
        <v>377</v>
      </c>
      <c r="V12" s="8" t="s">
        <v>185</v>
      </c>
      <c r="W12" s="8" t="s">
        <v>416</v>
      </c>
      <c r="X12" s="8">
        <v>26785</v>
      </c>
      <c r="Y12" s="8" t="s">
        <v>433</v>
      </c>
      <c r="Z12" s="8">
        <v>27616</v>
      </c>
      <c r="AA12" s="8"/>
      <c r="AB12" s="8"/>
      <c r="AC12" s="8" t="s">
        <v>381</v>
      </c>
      <c r="AD12" s="8" t="s">
        <v>201</v>
      </c>
      <c r="AE12" s="8"/>
      <c r="AF12" s="8"/>
      <c r="AG12" s="8" t="s">
        <v>474</v>
      </c>
      <c r="AH12" s="8">
        <v>27526</v>
      </c>
      <c r="AI12" s="8" t="s">
        <v>381</v>
      </c>
      <c r="AJ12" s="8" t="s">
        <v>221</v>
      </c>
      <c r="AK12" s="8" t="s">
        <v>498</v>
      </c>
      <c r="AL12" s="8">
        <v>27577</v>
      </c>
      <c r="AM12" s="8"/>
      <c r="AN12" s="8"/>
      <c r="AO12" s="8" t="s">
        <v>378</v>
      </c>
      <c r="AP12" s="8" t="s">
        <v>237</v>
      </c>
      <c r="AQ12" s="8" t="s">
        <v>377</v>
      </c>
      <c r="AR12" s="8" t="s">
        <v>252</v>
      </c>
      <c r="AS12" s="8" t="s">
        <v>517</v>
      </c>
      <c r="AT12" s="8">
        <v>27013</v>
      </c>
      <c r="AU12" s="8" t="s">
        <v>528</v>
      </c>
      <c r="AV12" s="13">
        <v>26806</v>
      </c>
    </row>
    <row r="13" spans="1:48" x14ac:dyDescent="0.25">
      <c r="A13" s="2"/>
      <c r="B13" s="8"/>
      <c r="C13" s="8"/>
      <c r="D13" s="8"/>
      <c r="E13" s="16" t="s">
        <v>378</v>
      </c>
      <c r="F13" s="8" t="s">
        <v>97</v>
      </c>
      <c r="G13" s="8" t="s">
        <v>380</v>
      </c>
      <c r="H13" s="8" t="s">
        <v>111</v>
      </c>
      <c r="I13" s="8" t="s">
        <v>378</v>
      </c>
      <c r="J13" s="8" t="s">
        <v>126</v>
      </c>
      <c r="K13" s="8" t="s">
        <v>378</v>
      </c>
      <c r="L13" s="8" t="s">
        <v>141</v>
      </c>
      <c r="M13" s="8"/>
      <c r="N13" s="8"/>
      <c r="O13" s="8" t="s">
        <v>378</v>
      </c>
      <c r="P13" s="8" t="s">
        <v>155</v>
      </c>
      <c r="Q13" s="8" t="s">
        <v>404</v>
      </c>
      <c r="R13" s="8">
        <v>26845</v>
      </c>
      <c r="S13" s="8" t="s">
        <v>378</v>
      </c>
      <c r="T13" s="8" t="s">
        <v>171</v>
      </c>
      <c r="U13" s="8" t="s">
        <v>378</v>
      </c>
      <c r="V13" s="8" t="s">
        <v>186</v>
      </c>
      <c r="W13" s="8"/>
      <c r="X13" s="8"/>
      <c r="Y13" s="8" t="s">
        <v>434</v>
      </c>
      <c r="Z13" s="8">
        <v>27613</v>
      </c>
      <c r="AA13" s="8"/>
      <c r="AB13" s="8"/>
      <c r="AC13" s="8" t="s">
        <v>448</v>
      </c>
      <c r="AD13" s="8" t="s">
        <v>202</v>
      </c>
      <c r="AE13" s="8"/>
      <c r="AF13" s="8"/>
      <c r="AG13" s="8" t="s">
        <v>475</v>
      </c>
      <c r="AH13" s="8">
        <v>27535</v>
      </c>
      <c r="AI13" s="8" t="s">
        <v>382</v>
      </c>
      <c r="AJ13" s="8" t="s">
        <v>222</v>
      </c>
      <c r="AK13" s="8" t="s">
        <v>499</v>
      </c>
      <c r="AL13" s="8">
        <v>27589</v>
      </c>
      <c r="AM13" s="8"/>
      <c r="AN13" s="8"/>
      <c r="AO13" s="8" t="s">
        <v>379</v>
      </c>
      <c r="AP13" s="8" t="s">
        <v>238</v>
      </c>
      <c r="AQ13" s="8" t="s">
        <v>378</v>
      </c>
      <c r="AR13" s="8" t="s">
        <v>253</v>
      </c>
      <c r="AS13" s="8"/>
      <c r="AT13" s="8"/>
      <c r="AU13" s="8" t="s">
        <v>529</v>
      </c>
      <c r="AV13" s="13">
        <v>26827</v>
      </c>
    </row>
    <row r="14" spans="1:48" x14ac:dyDescent="0.25">
      <c r="A14" s="2"/>
      <c r="B14" s="8"/>
      <c r="C14" s="8"/>
      <c r="D14" s="8"/>
      <c r="E14" s="16" t="s">
        <v>379</v>
      </c>
      <c r="F14" s="8" t="s">
        <v>98</v>
      </c>
      <c r="G14" s="8" t="s">
        <v>381</v>
      </c>
      <c r="H14" s="8" t="s">
        <v>112</v>
      </c>
      <c r="I14" s="8" t="s">
        <v>379</v>
      </c>
      <c r="J14" s="8" t="s">
        <v>127</v>
      </c>
      <c r="K14" s="8" t="s">
        <v>379</v>
      </c>
      <c r="L14" s="8" t="s">
        <v>142</v>
      </c>
      <c r="M14" s="8"/>
      <c r="N14" s="8"/>
      <c r="O14" s="8" t="s">
        <v>379</v>
      </c>
      <c r="P14" s="8" t="s">
        <v>156</v>
      </c>
      <c r="Q14" s="8" t="s">
        <v>405</v>
      </c>
      <c r="R14" s="8">
        <v>26854</v>
      </c>
      <c r="S14" s="8" t="s">
        <v>379</v>
      </c>
      <c r="T14" s="8" t="s">
        <v>172</v>
      </c>
      <c r="U14" s="8" t="s">
        <v>379</v>
      </c>
      <c r="V14" s="8" t="s">
        <v>187</v>
      </c>
      <c r="W14" s="8"/>
      <c r="X14" s="8"/>
      <c r="Y14" s="8" t="s">
        <v>435</v>
      </c>
      <c r="Z14" s="8">
        <v>27634</v>
      </c>
      <c r="AA14" s="8"/>
      <c r="AB14" s="8"/>
      <c r="AC14" s="8" t="s">
        <v>449</v>
      </c>
      <c r="AD14" s="8" t="s">
        <v>203</v>
      </c>
      <c r="AE14" s="8"/>
      <c r="AF14" s="8"/>
      <c r="AG14" s="8" t="s">
        <v>476</v>
      </c>
      <c r="AH14" s="8">
        <v>27532</v>
      </c>
      <c r="AI14" s="8" t="s">
        <v>448</v>
      </c>
      <c r="AJ14" s="8" t="s">
        <v>223</v>
      </c>
      <c r="AK14" s="8"/>
      <c r="AL14" s="8"/>
      <c r="AM14" s="8"/>
      <c r="AN14" s="8"/>
      <c r="AO14" s="8" t="s">
        <v>380</v>
      </c>
      <c r="AP14" s="8" t="s">
        <v>239</v>
      </c>
      <c r="AQ14" s="8" t="s">
        <v>379</v>
      </c>
      <c r="AR14" s="8" t="s">
        <v>254</v>
      </c>
      <c r="AS14" s="8"/>
      <c r="AT14" s="8"/>
      <c r="AU14" s="8"/>
      <c r="AV14" s="13"/>
    </row>
    <row r="15" spans="1:48" x14ac:dyDescent="0.25">
      <c r="A15" s="2"/>
      <c r="B15" s="8"/>
      <c r="C15" s="8"/>
      <c r="D15" s="8"/>
      <c r="E15" s="16" t="s">
        <v>380</v>
      </c>
      <c r="F15" s="8" t="s">
        <v>99</v>
      </c>
      <c r="G15" s="8" t="s">
        <v>382</v>
      </c>
      <c r="H15" s="8" t="s">
        <v>113</v>
      </c>
      <c r="I15" s="8" t="s">
        <v>380</v>
      </c>
      <c r="J15" s="8" t="s">
        <v>128</v>
      </c>
      <c r="K15" s="8" t="s">
        <v>380</v>
      </c>
      <c r="L15" s="8" t="s">
        <v>143</v>
      </c>
      <c r="M15" s="8"/>
      <c r="N15" s="8"/>
      <c r="O15" s="8" t="s">
        <v>380</v>
      </c>
      <c r="P15" s="8" t="s">
        <v>157</v>
      </c>
      <c r="Q15" s="8"/>
      <c r="R15" s="8"/>
      <c r="S15" s="8" t="s">
        <v>380</v>
      </c>
      <c r="T15" s="8" t="s">
        <v>173</v>
      </c>
      <c r="U15" s="8" t="s">
        <v>380</v>
      </c>
      <c r="V15" s="8" t="s">
        <v>188</v>
      </c>
      <c r="W15" s="8"/>
      <c r="X15" s="8"/>
      <c r="Y15" s="8" t="s">
        <v>422</v>
      </c>
      <c r="Z15" s="8">
        <v>27595</v>
      </c>
      <c r="AA15" s="8"/>
      <c r="AB15" s="8"/>
      <c r="AC15" s="8" t="s">
        <v>450</v>
      </c>
      <c r="AD15" s="8" t="s">
        <v>204</v>
      </c>
      <c r="AE15" s="8"/>
      <c r="AF15" s="8"/>
      <c r="AG15" s="8" t="s">
        <v>477</v>
      </c>
      <c r="AH15" s="8">
        <v>27553</v>
      </c>
      <c r="AI15" s="8" t="s">
        <v>485</v>
      </c>
      <c r="AJ15" s="8" t="s">
        <v>224</v>
      </c>
      <c r="AK15" s="8"/>
      <c r="AL15" s="8"/>
      <c r="AM15" s="8"/>
      <c r="AN15" s="8"/>
      <c r="AO15" s="8" t="s">
        <v>381</v>
      </c>
      <c r="AP15" s="8" t="s">
        <v>240</v>
      </c>
      <c r="AQ15" s="8" t="s">
        <v>380</v>
      </c>
      <c r="AR15" s="8" t="s">
        <v>255</v>
      </c>
      <c r="AS15" s="8"/>
      <c r="AT15" s="8"/>
      <c r="AU15" s="8"/>
      <c r="AV15" s="13"/>
    </row>
    <row r="16" spans="1:48" x14ac:dyDescent="0.25">
      <c r="A16" s="2"/>
      <c r="B16" s="8"/>
      <c r="C16" s="8"/>
      <c r="D16" s="8"/>
      <c r="E16" s="8"/>
      <c r="F16" s="8"/>
      <c r="G16" s="8" t="s">
        <v>383</v>
      </c>
      <c r="H16" s="8" t="s">
        <v>114</v>
      </c>
      <c r="I16" s="8" t="s">
        <v>381</v>
      </c>
      <c r="J16" s="8" t="s">
        <v>129</v>
      </c>
      <c r="K16" s="8"/>
      <c r="L16" s="8"/>
      <c r="M16" s="8"/>
      <c r="N16" s="8"/>
      <c r="O16" s="8" t="s">
        <v>381</v>
      </c>
      <c r="P16" s="8" t="s">
        <v>158</v>
      </c>
      <c r="Q16" s="8"/>
      <c r="R16" s="8"/>
      <c r="S16" s="8" t="s">
        <v>381</v>
      </c>
      <c r="T16" s="8" t="s">
        <v>174</v>
      </c>
      <c r="U16" s="8" t="s">
        <v>381</v>
      </c>
      <c r="V16" s="8" t="s">
        <v>189</v>
      </c>
      <c r="W16" s="8"/>
      <c r="X16" s="8"/>
      <c r="Y16" s="8" t="s">
        <v>436</v>
      </c>
      <c r="Z16" s="8">
        <v>27601</v>
      </c>
      <c r="AA16" s="8"/>
      <c r="AB16" s="8"/>
      <c r="AC16" s="8" t="s">
        <v>451</v>
      </c>
      <c r="AD16" s="8" t="s">
        <v>205</v>
      </c>
      <c r="AE16" s="8"/>
      <c r="AF16" s="8"/>
      <c r="AG16" s="8" t="s">
        <v>478</v>
      </c>
      <c r="AH16" s="8">
        <v>27547</v>
      </c>
      <c r="AI16" s="8" t="s">
        <v>486</v>
      </c>
      <c r="AJ16" s="8" t="s">
        <v>225</v>
      </c>
      <c r="AK16" s="8"/>
      <c r="AL16" s="8"/>
      <c r="AM16" s="8"/>
      <c r="AN16" s="8"/>
      <c r="AO16" s="8" t="s">
        <v>448</v>
      </c>
      <c r="AP16" s="8" t="s">
        <v>241</v>
      </c>
      <c r="AQ16" s="8" t="s">
        <v>381</v>
      </c>
      <c r="AR16" s="8" t="s">
        <v>256</v>
      </c>
      <c r="AS16" s="8"/>
      <c r="AT16" s="8"/>
      <c r="AU16" s="8"/>
      <c r="AV16" s="13"/>
    </row>
    <row r="17" spans="1:48" x14ac:dyDescent="0.25">
      <c r="A17" s="2"/>
      <c r="B17" s="8"/>
      <c r="C17" s="8"/>
      <c r="D17" s="8"/>
      <c r="E17" s="8"/>
      <c r="F17" s="8"/>
      <c r="G17" s="8"/>
      <c r="H17" s="8"/>
      <c r="I17" s="8"/>
      <c r="J17" s="8"/>
      <c r="K17" s="8"/>
      <c r="L17" s="8"/>
      <c r="M17" s="8"/>
      <c r="N17" s="8"/>
      <c r="O17" s="8" t="s">
        <v>382</v>
      </c>
      <c r="P17" s="8" t="s">
        <v>159</v>
      </c>
      <c r="Q17" s="8"/>
      <c r="R17" s="8"/>
      <c r="S17" s="8"/>
      <c r="T17" s="8"/>
      <c r="U17" s="8" t="s">
        <v>382</v>
      </c>
      <c r="V17" s="8" t="s">
        <v>190</v>
      </c>
      <c r="W17" s="8"/>
      <c r="X17" s="8"/>
      <c r="Y17" s="8" t="s">
        <v>437</v>
      </c>
      <c r="Z17" s="8">
        <v>27604</v>
      </c>
      <c r="AA17" s="8"/>
      <c r="AB17" s="8"/>
      <c r="AC17" s="8" t="s">
        <v>452</v>
      </c>
      <c r="AD17" s="8" t="s">
        <v>206</v>
      </c>
      <c r="AE17" s="8"/>
      <c r="AF17" s="8"/>
      <c r="AG17" s="8" t="s">
        <v>479</v>
      </c>
      <c r="AH17" s="8">
        <v>27541</v>
      </c>
      <c r="AI17" s="8" t="s">
        <v>487</v>
      </c>
      <c r="AJ17" s="8" t="s">
        <v>226</v>
      </c>
      <c r="AK17" s="8"/>
      <c r="AL17" s="8"/>
      <c r="AM17" s="8"/>
      <c r="AN17" s="8"/>
      <c r="AO17" s="8"/>
      <c r="AP17" s="8"/>
      <c r="AQ17" s="8"/>
      <c r="AR17" s="8"/>
      <c r="AS17" s="8"/>
      <c r="AT17" s="8"/>
      <c r="AU17" s="8"/>
      <c r="AV17" s="13"/>
    </row>
    <row r="18" spans="1:48" x14ac:dyDescent="0.25">
      <c r="A18" s="2"/>
      <c r="B18" s="8"/>
      <c r="C18" s="8"/>
      <c r="D18" s="8"/>
      <c r="E18" s="8"/>
      <c r="F18" s="8"/>
      <c r="G18" s="8"/>
      <c r="H18" s="8"/>
      <c r="I18" s="8"/>
      <c r="J18" s="8"/>
      <c r="K18" s="8"/>
      <c r="L18" s="8"/>
      <c r="M18" s="8"/>
      <c r="N18" s="8"/>
      <c r="O18" s="8"/>
      <c r="P18" s="8"/>
      <c r="Q18" s="8"/>
      <c r="R18" s="8"/>
      <c r="S18" s="8"/>
      <c r="T18" s="8"/>
      <c r="U18" s="8"/>
      <c r="V18" s="8"/>
      <c r="W18" s="8"/>
      <c r="X18" s="8"/>
      <c r="Y18" s="8"/>
      <c r="Z18" s="8"/>
      <c r="AA18" s="8"/>
      <c r="AB18" s="8"/>
      <c r="AC18" s="8" t="s">
        <v>453</v>
      </c>
      <c r="AD18" s="8" t="s">
        <v>207</v>
      </c>
      <c r="AE18" s="8"/>
      <c r="AF18" s="8"/>
      <c r="AG18" s="8" t="s">
        <v>480</v>
      </c>
      <c r="AH18" s="8">
        <v>27556</v>
      </c>
      <c r="AI18" s="8"/>
      <c r="AJ18" s="8"/>
      <c r="AK18" s="8"/>
      <c r="AL18" s="8"/>
      <c r="AM18" s="8"/>
      <c r="AN18" s="8"/>
      <c r="AO18" s="8"/>
      <c r="AP18" s="8"/>
      <c r="AQ18" s="8"/>
      <c r="AR18" s="8"/>
      <c r="AS18" s="8"/>
      <c r="AT18" s="8"/>
      <c r="AU18" s="8"/>
      <c r="AV18" s="13"/>
    </row>
    <row r="19" spans="1:48" x14ac:dyDescent="0.25">
      <c r="A19" s="2"/>
      <c r="B19" s="8"/>
      <c r="C19" s="8"/>
      <c r="D19" s="8"/>
      <c r="E19" s="8"/>
      <c r="F19" s="8"/>
      <c r="G19" s="8"/>
      <c r="H19" s="8"/>
      <c r="I19" s="8"/>
      <c r="J19" s="8"/>
      <c r="K19" s="8"/>
      <c r="L19" s="8"/>
      <c r="M19" s="8"/>
      <c r="N19" s="8"/>
      <c r="O19" s="8"/>
      <c r="P19" s="8"/>
      <c r="Q19" s="8"/>
      <c r="R19" s="8"/>
      <c r="S19" s="8"/>
      <c r="T19" s="8"/>
      <c r="U19" s="8"/>
      <c r="V19" s="8"/>
      <c r="W19" s="8"/>
      <c r="X19" s="8"/>
      <c r="Y19" s="8"/>
      <c r="Z19" s="8"/>
      <c r="AA19" s="8"/>
      <c r="AB19" s="8"/>
      <c r="AC19" s="8" t="s">
        <v>454</v>
      </c>
      <c r="AD19" s="8" t="s">
        <v>208</v>
      </c>
      <c r="AE19" s="8"/>
      <c r="AF19" s="8"/>
      <c r="AG19" s="8" t="s">
        <v>481</v>
      </c>
      <c r="AH19" s="8">
        <v>27538</v>
      </c>
      <c r="AI19" s="8"/>
      <c r="AJ19" s="8"/>
      <c r="AK19" s="8"/>
      <c r="AL19" s="8"/>
      <c r="AM19" s="8"/>
      <c r="AN19" s="8"/>
      <c r="AO19" s="8"/>
      <c r="AP19" s="8"/>
      <c r="AQ19" s="8"/>
      <c r="AR19" s="8"/>
      <c r="AS19" s="8"/>
      <c r="AT19" s="8"/>
      <c r="AU19" s="8"/>
      <c r="AV19" s="13"/>
    </row>
    <row r="20" spans="1:48" x14ac:dyDescent="0.25">
      <c r="A20" s="2"/>
      <c r="B20" s="8"/>
      <c r="C20" s="8"/>
      <c r="D20" s="8"/>
      <c r="E20" s="8"/>
      <c r="F20" s="8"/>
      <c r="G20" s="8"/>
      <c r="H20" s="8"/>
      <c r="I20" s="8"/>
      <c r="J20" s="8"/>
      <c r="K20" s="8"/>
      <c r="L20" s="8"/>
      <c r="M20" s="8"/>
      <c r="N20" s="8"/>
      <c r="O20" s="8"/>
      <c r="P20" s="8"/>
      <c r="Q20" s="8"/>
      <c r="R20" s="8"/>
      <c r="S20" s="8"/>
      <c r="T20" s="8"/>
      <c r="U20" s="8"/>
      <c r="V20" s="8"/>
      <c r="W20" s="8"/>
      <c r="X20" s="8"/>
      <c r="Y20" s="8"/>
      <c r="Z20" s="8"/>
      <c r="AA20" s="8"/>
      <c r="AB20" s="8"/>
      <c r="AC20" s="8" t="s">
        <v>455</v>
      </c>
      <c r="AD20" s="8" t="s">
        <v>209</v>
      </c>
      <c r="AE20" s="8"/>
      <c r="AF20" s="8"/>
      <c r="AG20" s="8" t="s">
        <v>482</v>
      </c>
      <c r="AH20" s="8">
        <v>27523</v>
      </c>
      <c r="AI20" s="8"/>
      <c r="AJ20" s="8"/>
      <c r="AK20" s="8"/>
      <c r="AL20" s="8"/>
      <c r="AM20" s="8"/>
      <c r="AN20" s="8"/>
      <c r="AO20" s="8"/>
      <c r="AP20" s="8"/>
      <c r="AQ20" s="8"/>
      <c r="AR20" s="8"/>
      <c r="AS20" s="8"/>
      <c r="AT20" s="8"/>
      <c r="AU20" s="8"/>
      <c r="AV20" s="13"/>
    </row>
    <row r="21" spans="1:48" x14ac:dyDescent="0.25">
      <c r="A21" s="2"/>
      <c r="B21" s="8"/>
      <c r="C21" s="8"/>
      <c r="D21" s="8"/>
      <c r="E21" s="8"/>
      <c r="F21" s="8"/>
      <c r="G21" s="8"/>
      <c r="H21" s="8"/>
      <c r="I21" s="8"/>
      <c r="J21" s="8"/>
      <c r="K21" s="8"/>
      <c r="L21" s="8"/>
      <c r="M21" s="8"/>
      <c r="N21" s="8"/>
      <c r="O21" s="8"/>
      <c r="P21" s="8"/>
      <c r="Q21" s="8"/>
      <c r="R21" s="8"/>
      <c r="S21" s="8"/>
      <c r="T21" s="8"/>
      <c r="U21" s="8"/>
      <c r="V21" s="8"/>
      <c r="W21" s="8"/>
      <c r="X21" s="8"/>
      <c r="Y21" s="8"/>
      <c r="Z21" s="8"/>
      <c r="AA21" s="8"/>
      <c r="AB21" s="8"/>
      <c r="AC21" s="8" t="s">
        <v>456</v>
      </c>
      <c r="AD21" s="8" t="s">
        <v>210</v>
      </c>
      <c r="AE21" s="8"/>
      <c r="AF21" s="8"/>
      <c r="AG21" s="8" t="s">
        <v>483</v>
      </c>
      <c r="AH21" s="8">
        <v>27520</v>
      </c>
      <c r="AI21" s="8"/>
      <c r="AJ21" s="8"/>
      <c r="AK21" s="8"/>
      <c r="AL21" s="8"/>
      <c r="AM21" s="8"/>
      <c r="AN21" s="8"/>
      <c r="AO21" s="8"/>
      <c r="AP21" s="8"/>
      <c r="AQ21" s="8"/>
      <c r="AR21" s="8"/>
      <c r="AS21" s="8"/>
      <c r="AT21" s="8"/>
      <c r="AU21" s="8"/>
      <c r="AV21" s="13"/>
    </row>
    <row r="22" spans="1:48" ht="15.75" thickBot="1" x14ac:dyDescent="0.3">
      <c r="A22" s="12"/>
      <c r="B22" s="14"/>
      <c r="C22" s="14"/>
      <c r="D22" s="14"/>
      <c r="E22" s="14"/>
      <c r="F22" s="14"/>
      <c r="G22" s="14"/>
      <c r="H22" s="14"/>
      <c r="I22" s="14"/>
      <c r="J22" s="14"/>
      <c r="K22" s="14"/>
      <c r="L22" s="14"/>
      <c r="M22" s="14"/>
      <c r="N22" s="14"/>
      <c r="O22" s="14"/>
      <c r="P22" s="14"/>
      <c r="Q22" s="14"/>
      <c r="R22" s="14"/>
      <c r="S22" s="14"/>
      <c r="T22" s="14"/>
      <c r="U22" s="14"/>
      <c r="V22" s="14"/>
      <c r="W22" s="14"/>
      <c r="X22" s="14"/>
      <c r="Y22" s="14"/>
      <c r="Z22" s="14"/>
      <c r="AA22" s="14"/>
      <c r="AB22" s="14"/>
      <c r="AC22" s="14"/>
      <c r="AD22" s="14"/>
      <c r="AE22" s="14"/>
      <c r="AF22" s="14"/>
      <c r="AG22" s="14" t="s">
        <v>484</v>
      </c>
      <c r="AH22" s="14">
        <v>27505</v>
      </c>
      <c r="AI22" s="14"/>
      <c r="AJ22" s="14"/>
      <c r="AK22" s="14"/>
      <c r="AL22" s="14"/>
      <c r="AM22" s="14"/>
      <c r="AN22" s="14"/>
      <c r="AO22" s="14"/>
      <c r="AP22" s="14"/>
      <c r="AQ22" s="14"/>
      <c r="AR22" s="14"/>
      <c r="AS22" s="14"/>
      <c r="AT22" s="14"/>
      <c r="AU22" s="14"/>
      <c r="AV22" s="15"/>
    </row>
  </sheetData>
  <autoFilter ref="A1:AU22"/>
  <sortState ref="E3:E15">
    <sortCondition ref="E3:E15"/>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53"/>
  <sheetViews>
    <sheetView workbookViewId="0"/>
  </sheetViews>
  <sheetFormatPr defaultRowHeight="15" x14ac:dyDescent="0.25"/>
  <cols>
    <col min="1" max="1" width="22.85546875" bestFit="1" customWidth="1"/>
  </cols>
  <sheetData>
    <row r="1" spans="1:2" ht="19.5" x14ac:dyDescent="0.25">
      <c r="A1" s="5" t="s">
        <v>32</v>
      </c>
      <c r="B1" s="11" t="s">
        <v>85</v>
      </c>
    </row>
    <row r="2" spans="1:2" x14ac:dyDescent="0.25">
      <c r="A2" s="3" t="s">
        <v>33</v>
      </c>
      <c r="B2" s="9">
        <v>1</v>
      </c>
    </row>
    <row r="3" spans="1:2" x14ac:dyDescent="0.25">
      <c r="A3" s="3" t="s">
        <v>34</v>
      </c>
      <c r="B3" s="9">
        <v>2</v>
      </c>
    </row>
    <row r="4" spans="1:2" x14ac:dyDescent="0.25">
      <c r="A4" s="3" t="s">
        <v>35</v>
      </c>
      <c r="B4" s="9">
        <v>3</v>
      </c>
    </row>
    <row r="5" spans="1:2" x14ac:dyDescent="0.25">
      <c r="A5" s="3" t="s">
        <v>36</v>
      </c>
      <c r="B5" s="9">
        <v>4</v>
      </c>
    </row>
    <row r="6" spans="1:2" x14ac:dyDescent="0.25">
      <c r="A6" s="3" t="s">
        <v>37</v>
      </c>
      <c r="B6" s="9">
        <v>5</v>
      </c>
    </row>
    <row r="7" spans="1:2" x14ac:dyDescent="0.25">
      <c r="A7" s="3" t="s">
        <v>38</v>
      </c>
      <c r="B7" s="9">
        <v>6</v>
      </c>
    </row>
    <row r="8" spans="1:2" x14ac:dyDescent="0.25">
      <c r="A8" s="3" t="s">
        <v>39</v>
      </c>
      <c r="B8" s="9">
        <v>7</v>
      </c>
    </row>
    <row r="9" spans="1:2" x14ac:dyDescent="0.25">
      <c r="A9" s="3" t="s">
        <v>40</v>
      </c>
      <c r="B9" s="9">
        <v>8</v>
      </c>
    </row>
    <row r="10" spans="1:2" x14ac:dyDescent="0.25">
      <c r="A10" s="3" t="s">
        <v>41</v>
      </c>
      <c r="B10" s="9">
        <v>9</v>
      </c>
    </row>
    <row r="11" spans="1:2" x14ac:dyDescent="0.25">
      <c r="A11" s="3" t="s">
        <v>42</v>
      </c>
      <c r="B11" s="9">
        <v>10</v>
      </c>
    </row>
    <row r="12" spans="1:2" x14ac:dyDescent="0.25">
      <c r="A12" s="3" t="s">
        <v>43</v>
      </c>
      <c r="B12" s="9">
        <v>11</v>
      </c>
    </row>
    <row r="13" spans="1:2" x14ac:dyDescent="0.25">
      <c r="A13" s="3" t="s">
        <v>44</v>
      </c>
      <c r="B13" s="9">
        <v>12</v>
      </c>
    </row>
    <row r="14" spans="1:2" x14ac:dyDescent="0.25">
      <c r="A14" s="3" t="s">
        <v>45</v>
      </c>
      <c r="B14" s="9">
        <v>13</v>
      </c>
    </row>
    <row r="15" spans="1:2" x14ac:dyDescent="0.25">
      <c r="A15" s="3" t="s">
        <v>46</v>
      </c>
      <c r="B15" s="9">
        <v>14</v>
      </c>
    </row>
    <row r="16" spans="1:2" x14ac:dyDescent="0.25">
      <c r="A16" s="3" t="s">
        <v>47</v>
      </c>
      <c r="B16" s="9">
        <v>15</v>
      </c>
    </row>
    <row r="17" spans="1:2" x14ac:dyDescent="0.25">
      <c r="A17" s="3" t="s">
        <v>48</v>
      </c>
      <c r="B17" s="9">
        <v>16</v>
      </c>
    </row>
    <row r="18" spans="1:2" x14ac:dyDescent="0.25">
      <c r="A18" s="3" t="s">
        <v>61</v>
      </c>
      <c r="B18" s="9">
        <v>29</v>
      </c>
    </row>
    <row r="19" spans="1:2" x14ac:dyDescent="0.25">
      <c r="A19" s="3" t="s">
        <v>49</v>
      </c>
      <c r="B19" s="9">
        <v>17</v>
      </c>
    </row>
    <row r="20" spans="1:2" x14ac:dyDescent="0.25">
      <c r="A20" s="3" t="s">
        <v>50</v>
      </c>
      <c r="B20" s="9">
        <v>18</v>
      </c>
    </row>
    <row r="21" spans="1:2" x14ac:dyDescent="0.25">
      <c r="A21" s="3" t="s">
        <v>51</v>
      </c>
      <c r="B21" s="9">
        <v>19</v>
      </c>
    </row>
    <row r="22" spans="1:2" x14ac:dyDescent="0.25">
      <c r="A22" s="3" t="s">
        <v>52</v>
      </c>
      <c r="B22" s="9">
        <v>20</v>
      </c>
    </row>
    <row r="23" spans="1:2" x14ac:dyDescent="0.25">
      <c r="A23" s="3" t="s">
        <v>53</v>
      </c>
      <c r="B23" s="9">
        <v>21</v>
      </c>
    </row>
    <row r="24" spans="1:2" x14ac:dyDescent="0.25">
      <c r="A24" s="3" t="s">
        <v>54</v>
      </c>
      <c r="B24" s="9">
        <v>22</v>
      </c>
    </row>
    <row r="25" spans="1:2" x14ac:dyDescent="0.25">
      <c r="A25" s="3" t="s">
        <v>55</v>
      </c>
      <c r="B25" s="9">
        <v>23</v>
      </c>
    </row>
    <row r="26" spans="1:2" x14ac:dyDescent="0.25">
      <c r="A26" s="3" t="s">
        <v>56</v>
      </c>
      <c r="B26" s="9">
        <v>24</v>
      </c>
    </row>
    <row r="27" spans="1:2" x14ac:dyDescent="0.25">
      <c r="A27" s="3" t="s">
        <v>57</v>
      </c>
      <c r="B27" s="9">
        <v>25</v>
      </c>
    </row>
    <row r="28" spans="1:2" x14ac:dyDescent="0.25">
      <c r="A28" s="3" t="s">
        <v>58</v>
      </c>
      <c r="B28" s="9">
        <v>26</v>
      </c>
    </row>
    <row r="29" spans="1:2" x14ac:dyDescent="0.25">
      <c r="A29" s="3" t="s">
        <v>59</v>
      </c>
      <c r="B29" s="9">
        <v>27</v>
      </c>
    </row>
    <row r="30" spans="1:2" x14ac:dyDescent="0.25">
      <c r="A30" s="3" t="s">
        <v>60</v>
      </c>
      <c r="B30" s="9">
        <v>28</v>
      </c>
    </row>
    <row r="31" spans="1:2" x14ac:dyDescent="0.25">
      <c r="A31" s="3" t="s">
        <v>63</v>
      </c>
      <c r="B31" s="9">
        <v>31</v>
      </c>
    </row>
    <row r="32" spans="1:2" x14ac:dyDescent="0.25">
      <c r="A32" s="3" t="s">
        <v>62</v>
      </c>
      <c r="B32" s="9">
        <v>30</v>
      </c>
    </row>
    <row r="33" spans="1:2" x14ac:dyDescent="0.25">
      <c r="A33" s="3" t="s">
        <v>64</v>
      </c>
      <c r="B33" s="9">
        <v>32</v>
      </c>
    </row>
    <row r="34" spans="1:2" x14ac:dyDescent="0.25">
      <c r="A34" s="3" t="s">
        <v>65</v>
      </c>
      <c r="B34" s="9">
        <v>33</v>
      </c>
    </row>
    <row r="35" spans="1:2" x14ac:dyDescent="0.25">
      <c r="A35" s="3" t="s">
        <v>66</v>
      </c>
      <c r="B35" s="9">
        <v>34</v>
      </c>
    </row>
    <row r="36" spans="1:2" x14ac:dyDescent="0.25">
      <c r="A36" s="3" t="s">
        <v>67</v>
      </c>
      <c r="B36" s="9">
        <v>35</v>
      </c>
    </row>
    <row r="37" spans="1:2" x14ac:dyDescent="0.25">
      <c r="A37" s="3" t="s">
        <v>68</v>
      </c>
      <c r="B37" s="9">
        <v>36</v>
      </c>
    </row>
    <row r="38" spans="1:2" x14ac:dyDescent="0.25">
      <c r="A38" s="3" t="s">
        <v>69</v>
      </c>
      <c r="B38" s="9">
        <v>37</v>
      </c>
    </row>
    <row r="39" spans="1:2" x14ac:dyDescent="0.25">
      <c r="A39" s="3" t="s">
        <v>70</v>
      </c>
      <c r="B39" s="9">
        <v>38</v>
      </c>
    </row>
    <row r="40" spans="1:2" x14ac:dyDescent="0.25">
      <c r="A40" s="3" t="s">
        <v>71</v>
      </c>
      <c r="B40" s="9">
        <v>39</v>
      </c>
    </row>
    <row r="41" spans="1:2" x14ac:dyDescent="0.25">
      <c r="A41" s="3" t="s">
        <v>72</v>
      </c>
      <c r="B41" s="9">
        <v>40</v>
      </c>
    </row>
    <row r="42" spans="1:2" x14ac:dyDescent="0.25">
      <c r="A42" s="3" t="s">
        <v>73</v>
      </c>
      <c r="B42" s="9">
        <v>41</v>
      </c>
    </row>
    <row r="43" spans="1:2" x14ac:dyDescent="0.25">
      <c r="A43" s="3" t="s">
        <v>74</v>
      </c>
      <c r="B43" s="9">
        <v>42</v>
      </c>
    </row>
    <row r="44" spans="1:2" x14ac:dyDescent="0.25">
      <c r="A44" s="3" t="s">
        <v>75</v>
      </c>
      <c r="B44" s="9">
        <v>43</v>
      </c>
    </row>
    <row r="45" spans="1:2" x14ac:dyDescent="0.25">
      <c r="A45" s="3" t="s">
        <v>76</v>
      </c>
      <c r="B45" s="9">
        <v>44</v>
      </c>
    </row>
    <row r="46" spans="1:2" x14ac:dyDescent="0.25">
      <c r="A46" s="3" t="s">
        <v>77</v>
      </c>
      <c r="B46" s="9">
        <v>45</v>
      </c>
    </row>
    <row r="47" spans="1:2" x14ac:dyDescent="0.25">
      <c r="A47" s="3" t="s">
        <v>78</v>
      </c>
      <c r="B47" s="9">
        <v>46</v>
      </c>
    </row>
    <row r="48" spans="1:2" x14ac:dyDescent="0.25">
      <c r="A48" s="3" t="s">
        <v>79</v>
      </c>
      <c r="B48" s="9">
        <v>47</v>
      </c>
    </row>
    <row r="49" spans="1:2" x14ac:dyDescent="0.25">
      <c r="A49" s="3" t="s">
        <v>80</v>
      </c>
      <c r="B49" s="9">
        <v>48</v>
      </c>
    </row>
    <row r="50" spans="1:2" x14ac:dyDescent="0.25">
      <c r="A50" s="3" t="s">
        <v>81</v>
      </c>
      <c r="B50" s="9">
        <v>49</v>
      </c>
    </row>
    <row r="51" spans="1:2" x14ac:dyDescent="0.25">
      <c r="A51" s="3" t="s">
        <v>82</v>
      </c>
      <c r="B51" s="9">
        <v>50</v>
      </c>
    </row>
    <row r="52" spans="1:2" x14ac:dyDescent="0.25">
      <c r="A52" s="3" t="s">
        <v>83</v>
      </c>
      <c r="B52" s="9">
        <v>51</v>
      </c>
    </row>
    <row r="53" spans="1:2" ht="15.75" thickBot="1" x14ac:dyDescent="0.3">
      <c r="A53" s="4" t="s">
        <v>84</v>
      </c>
      <c r="B53" s="10">
        <v>52</v>
      </c>
    </row>
  </sheetData>
  <autoFilter ref="A1:B53">
    <sortState ref="A2:B53">
      <sortCondition ref="A1:A53"/>
    </sortState>
  </autoFilter>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33"/>
  <sheetViews>
    <sheetView workbookViewId="0"/>
  </sheetViews>
  <sheetFormatPr defaultRowHeight="15" x14ac:dyDescent="0.25"/>
  <cols>
    <col min="1" max="1" width="44.140625" bestFit="1" customWidth="1"/>
    <col min="2" max="2" width="8.140625" bestFit="1" customWidth="1"/>
  </cols>
  <sheetData>
    <row r="1" spans="1:2" ht="19.5" x14ac:dyDescent="0.25">
      <c r="A1" s="5" t="s">
        <v>257</v>
      </c>
      <c r="B1" s="11" t="s">
        <v>85</v>
      </c>
    </row>
    <row r="2" spans="1:2" x14ac:dyDescent="0.25">
      <c r="A2" s="3" t="s">
        <v>269</v>
      </c>
      <c r="B2" s="9">
        <v>13</v>
      </c>
    </row>
    <row r="3" spans="1:2" x14ac:dyDescent="0.25">
      <c r="A3" s="3" t="s">
        <v>266</v>
      </c>
      <c r="B3" s="9">
        <v>10</v>
      </c>
    </row>
    <row r="4" spans="1:2" x14ac:dyDescent="0.25">
      <c r="A4" s="3" t="s">
        <v>261</v>
      </c>
      <c r="B4" s="9">
        <v>5</v>
      </c>
    </row>
    <row r="5" spans="1:2" x14ac:dyDescent="0.25">
      <c r="A5" s="3" t="s">
        <v>278</v>
      </c>
      <c r="B5" s="9">
        <v>22</v>
      </c>
    </row>
    <row r="6" spans="1:2" x14ac:dyDescent="0.25">
      <c r="A6" s="3" t="s">
        <v>279</v>
      </c>
      <c r="B6" s="9">
        <v>23</v>
      </c>
    </row>
    <row r="7" spans="1:2" x14ac:dyDescent="0.25">
      <c r="A7" s="3" t="s">
        <v>264</v>
      </c>
      <c r="B7" s="9">
        <v>8</v>
      </c>
    </row>
    <row r="8" spans="1:2" x14ac:dyDescent="0.25">
      <c r="A8" s="3" t="s">
        <v>274</v>
      </c>
      <c r="B8" s="9">
        <v>18</v>
      </c>
    </row>
    <row r="9" spans="1:2" x14ac:dyDescent="0.25">
      <c r="A9" s="3" t="s">
        <v>263</v>
      </c>
      <c r="B9" s="9">
        <v>7</v>
      </c>
    </row>
    <row r="10" spans="1:2" x14ac:dyDescent="0.25">
      <c r="A10" s="3" t="s">
        <v>267</v>
      </c>
      <c r="B10" s="9">
        <v>11</v>
      </c>
    </row>
    <row r="11" spans="1:2" x14ac:dyDescent="0.25">
      <c r="A11" s="3" t="s">
        <v>268</v>
      </c>
      <c r="B11" s="9">
        <v>12</v>
      </c>
    </row>
    <row r="12" spans="1:2" x14ac:dyDescent="0.25">
      <c r="A12" s="3" t="s">
        <v>577</v>
      </c>
      <c r="B12" s="9">
        <v>1</v>
      </c>
    </row>
    <row r="13" spans="1:2" x14ac:dyDescent="0.25">
      <c r="A13" s="3" t="s">
        <v>288</v>
      </c>
      <c r="B13" s="9">
        <v>32</v>
      </c>
    </row>
    <row r="14" spans="1:2" x14ac:dyDescent="0.25">
      <c r="A14" s="3" t="s">
        <v>287</v>
      </c>
      <c r="B14" s="9">
        <v>31</v>
      </c>
    </row>
    <row r="15" spans="1:2" x14ac:dyDescent="0.25">
      <c r="A15" s="3" t="s">
        <v>271</v>
      </c>
      <c r="B15" s="9">
        <v>15</v>
      </c>
    </row>
    <row r="16" spans="1:2" x14ac:dyDescent="0.25">
      <c r="A16" s="3" t="s">
        <v>282</v>
      </c>
      <c r="B16" s="9">
        <v>26</v>
      </c>
    </row>
    <row r="17" spans="1:2" x14ac:dyDescent="0.25">
      <c r="A17" s="3" t="s">
        <v>284</v>
      </c>
      <c r="B17" s="9">
        <v>28</v>
      </c>
    </row>
    <row r="18" spans="1:2" x14ac:dyDescent="0.25">
      <c r="A18" s="3" t="s">
        <v>273</v>
      </c>
      <c r="B18" s="9">
        <v>17</v>
      </c>
    </row>
    <row r="19" spans="1:2" x14ac:dyDescent="0.25">
      <c r="A19" s="3" t="s">
        <v>258</v>
      </c>
      <c r="B19" s="9">
        <v>2</v>
      </c>
    </row>
    <row r="20" spans="1:2" x14ac:dyDescent="0.25">
      <c r="A20" s="3" t="s">
        <v>259</v>
      </c>
      <c r="B20" s="9">
        <v>3</v>
      </c>
    </row>
    <row r="21" spans="1:2" x14ac:dyDescent="0.25">
      <c r="A21" s="3" t="s">
        <v>260</v>
      </c>
      <c r="B21" s="9">
        <v>4</v>
      </c>
    </row>
    <row r="22" spans="1:2" x14ac:dyDescent="0.25">
      <c r="A22" s="3" t="s">
        <v>277</v>
      </c>
      <c r="B22" s="9">
        <v>21</v>
      </c>
    </row>
    <row r="23" spans="1:2" x14ac:dyDescent="0.25">
      <c r="A23" s="3" t="s">
        <v>286</v>
      </c>
      <c r="B23" s="9">
        <v>30</v>
      </c>
    </row>
    <row r="24" spans="1:2" x14ac:dyDescent="0.25">
      <c r="A24" s="3" t="s">
        <v>265</v>
      </c>
      <c r="B24" s="9">
        <v>9</v>
      </c>
    </row>
    <row r="25" spans="1:2" x14ac:dyDescent="0.25">
      <c r="A25" s="3" t="s">
        <v>283</v>
      </c>
      <c r="B25" s="9">
        <v>27</v>
      </c>
    </row>
    <row r="26" spans="1:2" x14ac:dyDescent="0.25">
      <c r="A26" s="3" t="s">
        <v>285</v>
      </c>
      <c r="B26" s="9">
        <v>29</v>
      </c>
    </row>
    <row r="27" spans="1:2" x14ac:dyDescent="0.25">
      <c r="A27" s="3" t="s">
        <v>275</v>
      </c>
      <c r="B27" s="9">
        <v>19</v>
      </c>
    </row>
    <row r="28" spans="1:2" x14ac:dyDescent="0.25">
      <c r="A28" s="3" t="s">
        <v>262</v>
      </c>
      <c r="B28" s="9">
        <v>6</v>
      </c>
    </row>
    <row r="29" spans="1:2" x14ac:dyDescent="0.25">
      <c r="A29" s="3" t="s">
        <v>270</v>
      </c>
      <c r="B29" s="9">
        <v>14</v>
      </c>
    </row>
    <row r="30" spans="1:2" x14ac:dyDescent="0.25">
      <c r="A30" s="3" t="s">
        <v>281</v>
      </c>
      <c r="B30" s="9">
        <v>25</v>
      </c>
    </row>
    <row r="31" spans="1:2" x14ac:dyDescent="0.25">
      <c r="A31" s="3" t="s">
        <v>276</v>
      </c>
      <c r="B31" s="9">
        <v>20</v>
      </c>
    </row>
    <row r="32" spans="1:2" x14ac:dyDescent="0.25">
      <c r="A32" s="3" t="s">
        <v>280</v>
      </c>
      <c r="B32" s="9">
        <v>24</v>
      </c>
    </row>
    <row r="33" spans="1:2" ht="15.75" thickBot="1" x14ac:dyDescent="0.3">
      <c r="A33" s="4" t="s">
        <v>272</v>
      </c>
      <c r="B33" s="10">
        <v>16</v>
      </c>
    </row>
  </sheetData>
  <autoFilter ref="A1:B33">
    <sortState ref="A2:B33">
      <sortCondition ref="A1:A33"/>
    </sortState>
  </autoFilter>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B23"/>
  <sheetViews>
    <sheetView workbookViewId="0"/>
  </sheetViews>
  <sheetFormatPr defaultRowHeight="15" x14ac:dyDescent="0.25"/>
  <cols>
    <col min="1" max="1" width="33.5703125" bestFit="1" customWidth="1"/>
  </cols>
  <sheetData>
    <row r="1" spans="1:2" ht="19.5" x14ac:dyDescent="0.25">
      <c r="A1" s="5" t="s">
        <v>289</v>
      </c>
      <c r="B1" s="11" t="s">
        <v>85</v>
      </c>
    </row>
    <row r="2" spans="1:2" x14ac:dyDescent="0.25">
      <c r="A2" s="3" t="s">
        <v>290</v>
      </c>
      <c r="B2" s="9">
        <v>1</v>
      </c>
    </row>
    <row r="3" spans="1:2" x14ac:dyDescent="0.25">
      <c r="A3" s="3" t="s">
        <v>291</v>
      </c>
      <c r="B3" s="9">
        <v>2</v>
      </c>
    </row>
    <row r="4" spans="1:2" x14ac:dyDescent="0.25">
      <c r="A4" s="3" t="s">
        <v>292</v>
      </c>
      <c r="B4" s="9">
        <v>3</v>
      </c>
    </row>
    <row r="5" spans="1:2" x14ac:dyDescent="0.25">
      <c r="A5" s="3" t="s">
        <v>293</v>
      </c>
      <c r="B5" s="9">
        <v>4</v>
      </c>
    </row>
    <row r="6" spans="1:2" x14ac:dyDescent="0.25">
      <c r="A6" s="3" t="s">
        <v>304</v>
      </c>
      <c r="B6" s="9">
        <v>16</v>
      </c>
    </row>
    <row r="7" spans="1:2" x14ac:dyDescent="0.25">
      <c r="A7" s="3" t="s">
        <v>287</v>
      </c>
      <c r="B7" s="9">
        <v>17</v>
      </c>
    </row>
    <row r="8" spans="1:2" x14ac:dyDescent="0.25">
      <c r="A8" s="3" t="s">
        <v>307</v>
      </c>
      <c r="B8" s="9">
        <v>20</v>
      </c>
    </row>
    <row r="9" spans="1:2" x14ac:dyDescent="0.25">
      <c r="A9" s="3" t="s">
        <v>294</v>
      </c>
      <c r="B9" s="9">
        <v>5</v>
      </c>
    </row>
    <row r="10" spans="1:2" x14ac:dyDescent="0.25">
      <c r="A10" s="3" t="s">
        <v>305</v>
      </c>
      <c r="B10" s="9">
        <v>18</v>
      </c>
    </row>
    <row r="11" spans="1:2" x14ac:dyDescent="0.25">
      <c r="A11" s="3" t="s">
        <v>299</v>
      </c>
      <c r="B11" s="9">
        <v>11</v>
      </c>
    </row>
    <row r="12" spans="1:2" x14ac:dyDescent="0.25">
      <c r="A12" s="3" t="s">
        <v>300</v>
      </c>
      <c r="B12" s="9">
        <v>12</v>
      </c>
    </row>
    <row r="13" spans="1:2" x14ac:dyDescent="0.25">
      <c r="A13" s="3" t="s">
        <v>301</v>
      </c>
      <c r="B13" s="9">
        <v>13</v>
      </c>
    </row>
    <row r="14" spans="1:2" x14ac:dyDescent="0.25">
      <c r="A14" s="3" t="s">
        <v>302</v>
      </c>
      <c r="B14" s="9">
        <v>14</v>
      </c>
    </row>
    <row r="15" spans="1:2" x14ac:dyDescent="0.25">
      <c r="A15" s="3" t="s">
        <v>303</v>
      </c>
      <c r="B15" s="9">
        <v>15</v>
      </c>
    </row>
    <row r="16" spans="1:2" x14ac:dyDescent="0.25">
      <c r="A16" s="3" t="s">
        <v>296</v>
      </c>
      <c r="B16" s="9">
        <v>7</v>
      </c>
    </row>
    <row r="17" spans="1:2" x14ac:dyDescent="0.25">
      <c r="A17" s="3" t="s">
        <v>295</v>
      </c>
      <c r="B17" s="9">
        <v>6</v>
      </c>
    </row>
    <row r="18" spans="1:2" x14ac:dyDescent="0.25">
      <c r="A18" s="3" t="s">
        <v>298</v>
      </c>
      <c r="B18" s="9">
        <v>10</v>
      </c>
    </row>
    <row r="19" spans="1:2" x14ac:dyDescent="0.25">
      <c r="A19" s="3" t="s">
        <v>325</v>
      </c>
      <c r="B19" s="9">
        <v>9</v>
      </c>
    </row>
    <row r="20" spans="1:2" x14ac:dyDescent="0.25">
      <c r="A20" s="3" t="s">
        <v>309</v>
      </c>
      <c r="B20" s="9">
        <v>22</v>
      </c>
    </row>
    <row r="21" spans="1:2" x14ac:dyDescent="0.25">
      <c r="A21" s="3" t="s">
        <v>297</v>
      </c>
      <c r="B21" s="9">
        <v>8</v>
      </c>
    </row>
    <row r="22" spans="1:2" x14ac:dyDescent="0.25">
      <c r="A22" s="3" t="s">
        <v>308</v>
      </c>
      <c r="B22" s="9">
        <v>21</v>
      </c>
    </row>
    <row r="23" spans="1:2" ht="15.75" thickBot="1" x14ac:dyDescent="0.3">
      <c r="A23" s="4" t="s">
        <v>306</v>
      </c>
      <c r="B23" s="10">
        <v>19</v>
      </c>
    </row>
  </sheetData>
  <autoFilter ref="A1:B23">
    <sortState ref="A2:B23">
      <sortCondition ref="A1:A23"/>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9"/>
  <sheetViews>
    <sheetView workbookViewId="0"/>
  </sheetViews>
  <sheetFormatPr defaultRowHeight="15" x14ac:dyDescent="0.25"/>
  <cols>
    <col min="1" max="1" width="19" customWidth="1"/>
  </cols>
  <sheetData>
    <row r="1" spans="1:2" ht="19.5" x14ac:dyDescent="0.25">
      <c r="A1" s="5" t="s">
        <v>1</v>
      </c>
      <c r="B1" s="11" t="s">
        <v>85</v>
      </c>
    </row>
    <row r="2" spans="1:2" x14ac:dyDescent="0.25">
      <c r="A2" s="3" t="s">
        <v>310</v>
      </c>
      <c r="B2" s="9">
        <v>1</v>
      </c>
    </row>
    <row r="3" spans="1:2" x14ac:dyDescent="0.25">
      <c r="A3" s="3" t="s">
        <v>311</v>
      </c>
      <c r="B3" s="9">
        <v>3</v>
      </c>
    </row>
    <row r="4" spans="1:2" x14ac:dyDescent="0.25">
      <c r="A4" s="3" t="s">
        <v>312</v>
      </c>
      <c r="B4" s="9">
        <v>7</v>
      </c>
    </row>
    <row r="5" spans="1:2" x14ac:dyDescent="0.25">
      <c r="A5" s="3" t="s">
        <v>313</v>
      </c>
      <c r="B5" s="9">
        <v>8</v>
      </c>
    </row>
    <row r="6" spans="1:2" x14ac:dyDescent="0.25">
      <c r="A6" s="3" t="s">
        <v>314</v>
      </c>
      <c r="B6" s="9">
        <v>2</v>
      </c>
    </row>
    <row r="7" spans="1:2" x14ac:dyDescent="0.25">
      <c r="A7" s="3" t="s">
        <v>315</v>
      </c>
      <c r="B7" s="9">
        <v>6</v>
      </c>
    </row>
    <row r="8" spans="1:2" x14ac:dyDescent="0.25">
      <c r="A8" s="3" t="s">
        <v>316</v>
      </c>
      <c r="B8" s="9">
        <v>4</v>
      </c>
    </row>
    <row r="9" spans="1:2" ht="15.75" thickBot="1" x14ac:dyDescent="0.3">
      <c r="A9" s="4" t="s">
        <v>317</v>
      </c>
      <c r="B9" s="10">
        <v>5</v>
      </c>
    </row>
  </sheetData>
  <autoFilter ref="A1:B9">
    <sortState ref="A2:B9">
      <sortCondition ref="A1:A9"/>
    </sortState>
  </autoFilter>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30</vt:i4>
      </vt:variant>
    </vt:vector>
  </HeadingPairs>
  <TitlesOfParts>
    <vt:vector size="38" baseType="lpstr">
      <vt:lpstr>Template</vt:lpstr>
      <vt:lpstr>City</vt:lpstr>
      <vt:lpstr>District</vt:lpstr>
      <vt:lpstr>Ward</vt:lpstr>
      <vt:lpstr>Speciality</vt:lpstr>
      <vt:lpstr>Service</vt:lpstr>
      <vt:lpstr>Facility</vt:lpstr>
      <vt:lpstr>HospitalType</vt:lpstr>
      <vt:lpstr>CityList</vt:lpstr>
      <vt:lpstr>FacilityList</vt:lpstr>
      <vt:lpstr>Hồ_Chí_Minh_List</vt:lpstr>
      <vt:lpstr>HospitalTypeList</vt:lpstr>
      <vt:lpstr>ServiceList</vt:lpstr>
      <vt:lpstr>SG_Huyện_Bình_Chánh_List</vt:lpstr>
      <vt:lpstr>SG_Huyện_Cần_Giờ_List</vt:lpstr>
      <vt:lpstr>SG_Huyện_Củ_Chi_List</vt:lpstr>
      <vt:lpstr>SG_Huyện_Hóc_Môn_List</vt:lpstr>
      <vt:lpstr>SG_Huyện_Nhà_Bè_List</vt:lpstr>
      <vt:lpstr>SG_Quận_1_List</vt:lpstr>
      <vt:lpstr>SG_Quận_10_List</vt:lpstr>
      <vt:lpstr>SG_Quận_11_List</vt:lpstr>
      <vt:lpstr>SG_Quận_12_List</vt:lpstr>
      <vt:lpstr>SG_Quận_2_List</vt:lpstr>
      <vt:lpstr>SG_Quận_3_List</vt:lpstr>
      <vt:lpstr>SG_Quận_4_List</vt:lpstr>
      <vt:lpstr>SG_Quận_5_List</vt:lpstr>
      <vt:lpstr>SG_Quận_6_List</vt:lpstr>
      <vt:lpstr>SG_Quận_7_List</vt:lpstr>
      <vt:lpstr>SG_Quận_8_List</vt:lpstr>
      <vt:lpstr>SG_Quận_9_List</vt:lpstr>
      <vt:lpstr>SG_Quận_Bình_Tân_List</vt:lpstr>
      <vt:lpstr>SG_Quận_Bình_Thạnh_List</vt:lpstr>
      <vt:lpstr>SG_Quận_Gò_Vấp_List</vt:lpstr>
      <vt:lpstr>SG_Quận_Phú_Nhuận_List</vt:lpstr>
      <vt:lpstr>SG_Quận_Tân_Bình_List</vt:lpstr>
      <vt:lpstr>SG_Quận_Tân_Phú_List</vt:lpstr>
      <vt:lpstr>SG_Quận_Thủ_Đức_List</vt:lpstr>
      <vt:lpstr>SpecialityList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Son Nguyen</dc:creator>
  <cp:lastModifiedBy>Son Nguyen</cp:lastModifiedBy>
  <dcterms:created xsi:type="dcterms:W3CDTF">2014-08-07T09:30:45Z</dcterms:created>
  <dcterms:modified xsi:type="dcterms:W3CDTF">2014-08-21T13:41:28Z</dcterms:modified>
</cp:coreProperties>
</file>